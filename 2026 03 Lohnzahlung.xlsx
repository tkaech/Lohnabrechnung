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yvonn\Spaces\01 BSD\03 Buchhaltung\2026 Buchhaltung\2026 Löhne\03 Löhne\"/>
    </mc:Choice>
  </mc:AlternateContent>
  <xr:revisionPtr revIDLastSave="0" documentId="13_ncr:1_{C4B85DD9-25D6-4425-8D07-D5C0D3DF20B2}" xr6:coauthVersionLast="47" xr6:coauthVersionMax="47" xr10:uidLastSave="{00000000-0000-0000-0000-000000000000}"/>
  <bookViews>
    <workbookView xWindow="26004" yWindow="12" windowWidth="35436" windowHeight="16452" tabRatio="989" xr2:uid="{00000000-000D-0000-FFFF-FFFF00000000}"/>
  </bookViews>
  <sheets>
    <sheet name="Std-Erf" sheetId="1" r:id="rId1"/>
    <sheet name="BleR" sheetId="2" r:id="rId2"/>
    <sheet name="BleD" sheetId="118" r:id="rId3"/>
    <sheet name="BauR" sheetId="115" r:id="rId4"/>
    <sheet name="BeiC" sheetId="109" r:id="rId5"/>
    <sheet name="BirB" sheetId="90" r:id="rId6"/>
    <sheet name="BirR" sheetId="91" r:id="rId7"/>
    <sheet name="CamF" sheetId="57" r:id="rId8"/>
    <sheet name="CamF Seminar" sheetId="86" r:id="rId9"/>
    <sheet name="CorB" sheetId="111" r:id="rId10"/>
    <sheet name="CosF" sheetId="88" r:id="rId11"/>
    <sheet name="DizH" sheetId="58" r:id="rId12"/>
    <sheet name="DuR" sheetId="59" r:id="rId13"/>
    <sheet name="EgliA" sheetId="60" r:id="rId14"/>
    <sheet name="EgliB" sheetId="120" r:id="rId15"/>
    <sheet name="GabA" sheetId="125" r:id="rId16"/>
    <sheet name="GabP" sheetId="119" r:id="rId17"/>
    <sheet name="GrBe" sheetId="62" r:id="rId18"/>
    <sheet name="HieP" sheetId="94" r:id="rId19"/>
    <sheet name="HugS" sheetId="106" r:id="rId20"/>
    <sheet name="KäJ" sheetId="87" r:id="rId21"/>
    <sheet name="KäY" sheetId="63" r:id="rId22"/>
    <sheet name="KolM" sheetId="79" r:id="rId23"/>
    <sheet name="KolMSpesen" sheetId="126" r:id="rId24"/>
    <sheet name="KosI" sheetId="127" r:id="rId25"/>
    <sheet name="LinS" sheetId="104" r:id="rId26"/>
    <sheet name="LusWJ" sheetId="64" r:id="rId27"/>
    <sheet name="LusWS" sheetId="65" r:id="rId28"/>
    <sheet name="PegJ" sheetId="129" r:id="rId29"/>
    <sheet name="PreG" sheetId="113" r:id="rId30"/>
    <sheet name="PreZ" sheetId="83" r:id="rId31"/>
    <sheet name="RocJ" sheetId="122" r:id="rId32"/>
    <sheet name="RocR" sheetId="72" r:id="rId33"/>
    <sheet name="SchA" sheetId="73" r:id="rId34"/>
    <sheet name="StaS" sheetId="76" r:id="rId35"/>
    <sheet name="StoN" sheetId="117" r:id="rId36"/>
    <sheet name="Unfall Norina" sheetId="121" r:id="rId37"/>
    <sheet name="Unfall Kolb" sheetId="116" r:id="rId38"/>
    <sheet name="KTG SchE" sheetId="81" r:id="rId39"/>
    <sheet name="Unfalltaggeld" sheetId="32" r:id="rId40"/>
    <sheet name="Tabelle1" sheetId="33" r:id="rId41"/>
  </sheets>
  <definedNames>
    <definedName name="_xlnm.Print_Area" localSheetId="0">'Std-Erf'!$A$1:$G$38</definedName>
    <definedName name="Text17" localSheetId="0">'Std-Erf'!#REF!</definedName>
    <definedName name="Text18" localSheetId="0">'Std-Erf'!#REF!</definedName>
    <definedName name="Text19" localSheetId="0">'Std-Erf'!#REF!</definedName>
    <definedName name="Text20" localSheetId="0">'Std-Erf'!#REF!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29" l="1"/>
  <c r="C24" i="129"/>
  <c r="E24" i="129" s="1"/>
  <c r="G24" i="129" s="1"/>
  <c r="E23" i="129"/>
  <c r="G23" i="129" s="1"/>
  <c r="G28" i="129"/>
  <c r="G27" i="129"/>
  <c r="G26" i="129"/>
  <c r="G25" i="129"/>
  <c r="B18" i="129"/>
  <c r="B14" i="129"/>
  <c r="G24" i="121"/>
  <c r="G40" i="127"/>
  <c r="C24" i="127"/>
  <c r="E24" i="127" s="1"/>
  <c r="G24" i="127" s="1"/>
  <c r="E23" i="127"/>
  <c r="G23" i="127" s="1"/>
  <c r="G28" i="127"/>
  <c r="G27" i="127"/>
  <c r="G26" i="127"/>
  <c r="G25" i="127"/>
  <c r="B18" i="127"/>
  <c r="B14" i="127"/>
  <c r="G29" i="129" l="1"/>
  <c r="G31" i="129" s="1"/>
  <c r="G32" i="129" s="1"/>
  <c r="E37" i="129"/>
  <c r="G37" i="129" s="1"/>
  <c r="G29" i="127"/>
  <c r="G31" i="127" s="1"/>
  <c r="G32" i="127" s="1"/>
  <c r="E37" i="127"/>
  <c r="G37" i="127" s="1"/>
  <c r="C25" i="1"/>
  <c r="G40" i="79"/>
  <c r="G28" i="126"/>
  <c r="G27" i="126"/>
  <c r="G26" i="126"/>
  <c r="G25" i="126"/>
  <c r="C24" i="126"/>
  <c r="E24" i="126" s="1"/>
  <c r="G24" i="126" s="1"/>
  <c r="G23" i="126"/>
  <c r="B18" i="126"/>
  <c r="B14" i="126"/>
  <c r="C24" i="125"/>
  <c r="E24" i="125" s="1"/>
  <c r="G24" i="125" s="1"/>
  <c r="E23" i="125"/>
  <c r="G41" i="125"/>
  <c r="G28" i="125"/>
  <c r="G27" i="125"/>
  <c r="G26" i="125"/>
  <c r="G25" i="125"/>
  <c r="B18" i="125"/>
  <c r="B14" i="125"/>
  <c r="G40" i="122"/>
  <c r="C24" i="122"/>
  <c r="E24" i="122" s="1"/>
  <c r="G24" i="122" s="1"/>
  <c r="E23" i="122"/>
  <c r="G23" i="122" s="1"/>
  <c r="G28" i="122"/>
  <c r="G27" i="122"/>
  <c r="G26" i="122"/>
  <c r="G25" i="122"/>
  <c r="B18" i="122"/>
  <c r="B14" i="122"/>
  <c r="G25" i="121"/>
  <c r="E33" i="121"/>
  <c r="B14" i="121"/>
  <c r="G41" i="59"/>
  <c r="C24" i="120"/>
  <c r="E24" i="120" s="1"/>
  <c r="E23" i="120"/>
  <c r="G23" i="120" s="1"/>
  <c r="G40" i="120"/>
  <c r="G28" i="120"/>
  <c r="G27" i="120"/>
  <c r="G26" i="120"/>
  <c r="G25" i="120"/>
  <c r="B18" i="120"/>
  <c r="B14" i="120"/>
  <c r="E23" i="119"/>
  <c r="G23" i="119" s="1"/>
  <c r="C24" i="119"/>
  <c r="E24" i="119" s="1"/>
  <c r="G40" i="119"/>
  <c r="G28" i="119"/>
  <c r="G27" i="119"/>
  <c r="G26" i="119"/>
  <c r="G25" i="119"/>
  <c r="B18" i="119"/>
  <c r="B14" i="119"/>
  <c r="G34" i="129" l="1"/>
  <c r="G36" i="129"/>
  <c r="G35" i="129"/>
  <c r="G36" i="127"/>
  <c r="G34" i="127"/>
  <c r="G35" i="127"/>
  <c r="G29" i="126"/>
  <c r="G31" i="126" s="1"/>
  <c r="G32" i="126" s="1"/>
  <c r="E37" i="126"/>
  <c r="G37" i="126" s="1"/>
  <c r="E38" i="125"/>
  <c r="G38" i="125" s="1"/>
  <c r="G23" i="125"/>
  <c r="G29" i="125" s="1"/>
  <c r="G29" i="122"/>
  <c r="G31" i="122" s="1"/>
  <c r="G32" i="122" s="1"/>
  <c r="E37" i="122"/>
  <c r="G37" i="122" s="1"/>
  <c r="G27" i="121"/>
  <c r="G28" i="121" s="1"/>
  <c r="G24" i="120"/>
  <c r="G29" i="120" s="1"/>
  <c r="E37" i="120"/>
  <c r="G37" i="120" s="1"/>
  <c r="G24" i="119"/>
  <c r="G29" i="119" s="1"/>
  <c r="G31" i="119" s="1"/>
  <c r="G32" i="119" s="1"/>
  <c r="E37" i="119"/>
  <c r="G37" i="119" s="1"/>
  <c r="E23" i="118"/>
  <c r="G23" i="118" s="1"/>
  <c r="E24" i="118"/>
  <c r="G24" i="118" s="1"/>
  <c r="G41" i="118"/>
  <c r="G38" i="118"/>
  <c r="G28" i="118"/>
  <c r="G27" i="118"/>
  <c r="G26" i="118"/>
  <c r="G25" i="118"/>
  <c r="B18" i="118"/>
  <c r="B14" i="118"/>
  <c r="G38" i="129" l="1"/>
  <c r="G42" i="129" s="1"/>
  <c r="F30" i="1" s="1"/>
  <c r="G38" i="127"/>
  <c r="G42" i="127" s="1"/>
  <c r="F26" i="1" s="1"/>
  <c r="G36" i="126"/>
  <c r="G35" i="126"/>
  <c r="G34" i="126"/>
  <c r="G31" i="125"/>
  <c r="G32" i="125" s="1"/>
  <c r="G36" i="122"/>
  <c r="G35" i="122"/>
  <c r="G34" i="122"/>
  <c r="G31" i="120"/>
  <c r="G32" i="120" s="1"/>
  <c r="G35" i="119"/>
  <c r="G36" i="119"/>
  <c r="G34" i="119"/>
  <c r="G29" i="118"/>
  <c r="G31" i="118" s="1"/>
  <c r="G32" i="118" s="1"/>
  <c r="G41" i="117"/>
  <c r="C24" i="117"/>
  <c r="E24" i="117" s="1"/>
  <c r="E23" i="117"/>
  <c r="G28" i="117"/>
  <c r="G27" i="117"/>
  <c r="G26" i="117"/>
  <c r="G25" i="117"/>
  <c r="B18" i="117"/>
  <c r="B14" i="117"/>
  <c r="G25" i="116"/>
  <c r="G24" i="116"/>
  <c r="G28" i="116"/>
  <c r="C24" i="115"/>
  <c r="E24" i="115" s="1"/>
  <c r="G40" i="115"/>
  <c r="E23" i="115"/>
  <c r="G23" i="115" s="1"/>
  <c r="G28" i="115"/>
  <c r="G27" i="115"/>
  <c r="G26" i="115"/>
  <c r="G25" i="115"/>
  <c r="B18" i="115"/>
  <c r="B14" i="115"/>
  <c r="C24" i="113"/>
  <c r="E24" i="113" s="1"/>
  <c r="G24" i="113" s="1"/>
  <c r="E23" i="113"/>
  <c r="G23" i="113" s="1"/>
  <c r="G42" i="113"/>
  <c r="G28" i="113"/>
  <c r="G27" i="113"/>
  <c r="G26" i="113"/>
  <c r="G25" i="113"/>
  <c r="B18" i="113"/>
  <c r="B14" i="113"/>
  <c r="G40" i="111"/>
  <c r="C24" i="111"/>
  <c r="E24" i="111" s="1"/>
  <c r="G24" i="111" s="1"/>
  <c r="E23" i="111"/>
  <c r="G28" i="111"/>
  <c r="G27" i="111"/>
  <c r="G26" i="111"/>
  <c r="G25" i="111"/>
  <c r="B18" i="111"/>
  <c r="B14" i="111"/>
  <c r="G42" i="109"/>
  <c r="C24" i="109"/>
  <c r="E24" i="109" s="1"/>
  <c r="G24" i="109" s="1"/>
  <c r="E23" i="109"/>
  <c r="G23" i="109" s="1"/>
  <c r="G28" i="109"/>
  <c r="G27" i="109"/>
  <c r="G26" i="109"/>
  <c r="G25" i="109"/>
  <c r="B18" i="109"/>
  <c r="B14" i="109"/>
  <c r="G38" i="126" l="1"/>
  <c r="G42" i="126" s="1"/>
  <c r="F25" i="1" s="1"/>
  <c r="G36" i="125"/>
  <c r="G35" i="125"/>
  <c r="G34" i="125"/>
  <c r="G38" i="122"/>
  <c r="G42" i="122" s="1"/>
  <c r="F33" i="1" s="1"/>
  <c r="G34" i="121"/>
  <c r="G38" i="121" s="1"/>
  <c r="G34" i="120"/>
  <c r="G36" i="120"/>
  <c r="G35" i="120"/>
  <c r="G38" i="119"/>
  <c r="G42" i="119" s="1"/>
  <c r="F18" i="1" s="1"/>
  <c r="G36" i="118"/>
  <c r="G35" i="118"/>
  <c r="G34" i="118"/>
  <c r="G24" i="117"/>
  <c r="E38" i="117"/>
  <c r="G38" i="117" s="1"/>
  <c r="G23" i="117"/>
  <c r="G34" i="116"/>
  <c r="G38" i="116" s="1"/>
  <c r="G24" i="115"/>
  <c r="G29" i="115" s="1"/>
  <c r="E37" i="115"/>
  <c r="G37" i="115" s="1"/>
  <c r="G29" i="113"/>
  <c r="G31" i="113" s="1"/>
  <c r="G32" i="113" s="1"/>
  <c r="E39" i="113"/>
  <c r="G39" i="113" s="1"/>
  <c r="E37" i="111"/>
  <c r="G37" i="111" s="1"/>
  <c r="G23" i="111"/>
  <c r="G29" i="111" s="1"/>
  <c r="G29" i="109"/>
  <c r="G31" i="109" s="1"/>
  <c r="G32" i="109" s="1"/>
  <c r="E39" i="109"/>
  <c r="G39" i="109" s="1"/>
  <c r="G41" i="106"/>
  <c r="C24" i="106"/>
  <c r="E24" i="106" s="1"/>
  <c r="E23" i="106"/>
  <c r="E25" i="106" s="1"/>
  <c r="G25" i="106" s="1"/>
  <c r="G28" i="106"/>
  <c r="G27" i="106"/>
  <c r="G26" i="106"/>
  <c r="B18" i="106"/>
  <c r="B14" i="106"/>
  <c r="G40" i="104"/>
  <c r="C24" i="104"/>
  <c r="E24" i="104" s="1"/>
  <c r="E23" i="104"/>
  <c r="G23" i="104" s="1"/>
  <c r="G28" i="104"/>
  <c r="G27" i="104"/>
  <c r="G26" i="104"/>
  <c r="G25" i="104"/>
  <c r="B18" i="104"/>
  <c r="B14" i="104"/>
  <c r="G40" i="86"/>
  <c r="C24" i="94"/>
  <c r="E24" i="94" s="1"/>
  <c r="G40" i="94"/>
  <c r="E23" i="94"/>
  <c r="G28" i="94"/>
  <c r="G27" i="94"/>
  <c r="G26" i="94"/>
  <c r="B18" i="94"/>
  <c r="B14" i="94"/>
  <c r="G40" i="91"/>
  <c r="C24" i="91"/>
  <c r="E24" i="91" s="1"/>
  <c r="E23" i="91"/>
  <c r="G23" i="91" s="1"/>
  <c r="G28" i="91"/>
  <c r="G27" i="91"/>
  <c r="G26" i="91"/>
  <c r="G25" i="91"/>
  <c r="B18" i="91"/>
  <c r="B14" i="91"/>
  <c r="G40" i="90"/>
  <c r="C24" i="90"/>
  <c r="E24" i="90" s="1"/>
  <c r="G24" i="90" s="1"/>
  <c r="E23" i="90"/>
  <c r="G28" i="90"/>
  <c r="G27" i="90"/>
  <c r="G26" i="90"/>
  <c r="B18" i="90"/>
  <c r="B14" i="90"/>
  <c r="C24" i="83"/>
  <c r="E24" i="83" s="1"/>
  <c r="G24" i="83" s="1"/>
  <c r="E25" i="79"/>
  <c r="G25" i="79" s="1"/>
  <c r="G40" i="88"/>
  <c r="C24" i="88"/>
  <c r="E24" i="88" s="1"/>
  <c r="E23" i="88"/>
  <c r="G23" i="88" s="1"/>
  <c r="G28" i="88"/>
  <c r="G27" i="88"/>
  <c r="G26" i="88"/>
  <c r="G25" i="88"/>
  <c r="B18" i="88"/>
  <c r="B14" i="88"/>
  <c r="C24" i="87"/>
  <c r="E24" i="87" s="1"/>
  <c r="E23" i="87"/>
  <c r="G23" i="87" s="1"/>
  <c r="G41" i="87"/>
  <c r="G28" i="87"/>
  <c r="G27" i="87"/>
  <c r="G26" i="87"/>
  <c r="G25" i="87"/>
  <c r="B18" i="87"/>
  <c r="B14" i="87"/>
  <c r="E23" i="86"/>
  <c r="E37" i="86" s="1"/>
  <c r="G37" i="86" s="1"/>
  <c r="G28" i="86"/>
  <c r="G27" i="86"/>
  <c r="G26" i="86"/>
  <c r="G25" i="86"/>
  <c r="E24" i="86"/>
  <c r="B18" i="86"/>
  <c r="B14" i="86"/>
  <c r="E23" i="57"/>
  <c r="G23" i="57" s="1"/>
  <c r="G41" i="60"/>
  <c r="G41" i="76"/>
  <c r="G42" i="83"/>
  <c r="E23" i="83"/>
  <c r="G23" i="83" s="1"/>
  <c r="G28" i="83"/>
  <c r="G27" i="83"/>
  <c r="G26" i="83"/>
  <c r="G25" i="83"/>
  <c r="B18" i="83"/>
  <c r="B14" i="83"/>
  <c r="G27" i="76"/>
  <c r="G26" i="81"/>
  <c r="G23" i="81"/>
  <c r="E25" i="81"/>
  <c r="G25" i="81"/>
  <c r="G27" i="81"/>
  <c r="G30" i="81"/>
  <c r="B19" i="81"/>
  <c r="B18" i="81"/>
  <c r="B14" i="81"/>
  <c r="C24" i="76"/>
  <c r="E24" i="76" s="1"/>
  <c r="G24" i="76" s="1"/>
  <c r="C24" i="79"/>
  <c r="E24" i="79" s="1"/>
  <c r="E23" i="79"/>
  <c r="G23" i="79" s="1"/>
  <c r="G28" i="79"/>
  <c r="G27" i="79"/>
  <c r="G26" i="79"/>
  <c r="B18" i="79"/>
  <c r="B14" i="79"/>
  <c r="E23" i="76"/>
  <c r="G23" i="76" s="1"/>
  <c r="G28" i="76"/>
  <c r="G26" i="76"/>
  <c r="B18" i="76"/>
  <c r="B14" i="76"/>
  <c r="G40" i="73"/>
  <c r="C24" i="73"/>
  <c r="E24" i="73" s="1"/>
  <c r="E23" i="73"/>
  <c r="G23" i="73" s="1"/>
  <c r="G28" i="73"/>
  <c r="G27" i="73"/>
  <c r="G26" i="73"/>
  <c r="B18" i="73"/>
  <c r="B14" i="73"/>
  <c r="G40" i="72"/>
  <c r="C24" i="72"/>
  <c r="E24" i="72" s="1"/>
  <c r="G24" i="72" s="1"/>
  <c r="E23" i="72"/>
  <c r="G23" i="72" s="1"/>
  <c r="G28" i="72"/>
  <c r="G27" i="72"/>
  <c r="G26" i="72"/>
  <c r="G25" i="72"/>
  <c r="B18" i="72"/>
  <c r="B14" i="72"/>
  <c r="G40" i="65"/>
  <c r="C24" i="65"/>
  <c r="E24" i="65" s="1"/>
  <c r="G24" i="65" s="1"/>
  <c r="E23" i="65"/>
  <c r="G23" i="65" s="1"/>
  <c r="G28" i="65"/>
  <c r="G27" i="65"/>
  <c r="G26" i="65"/>
  <c r="B18" i="65"/>
  <c r="B14" i="65"/>
  <c r="G40" i="64"/>
  <c r="C24" i="64"/>
  <c r="E24" i="64" s="1"/>
  <c r="E23" i="64"/>
  <c r="G23" i="64" s="1"/>
  <c r="G28" i="64"/>
  <c r="G27" i="64"/>
  <c r="G26" i="64"/>
  <c r="B18" i="64"/>
  <c r="B14" i="64"/>
  <c r="G41" i="63"/>
  <c r="E23" i="63"/>
  <c r="G23" i="63" s="1"/>
  <c r="G29" i="63" s="1"/>
  <c r="G38" i="63"/>
  <c r="G28" i="63"/>
  <c r="G27" i="63"/>
  <c r="G26" i="63"/>
  <c r="E24" i="63"/>
  <c r="G24" i="63"/>
  <c r="B18" i="63"/>
  <c r="B14" i="63"/>
  <c r="G40" i="62"/>
  <c r="C24" i="62"/>
  <c r="E24" i="62" s="1"/>
  <c r="G24" i="62" s="1"/>
  <c r="E23" i="62"/>
  <c r="G23" i="62" s="1"/>
  <c r="G28" i="62"/>
  <c r="G27" i="62"/>
  <c r="G26" i="62"/>
  <c r="B18" i="62"/>
  <c r="B14" i="62"/>
  <c r="C24" i="60"/>
  <c r="E24" i="60" s="1"/>
  <c r="G24" i="60" s="1"/>
  <c r="E23" i="60"/>
  <c r="G23" i="60" s="1"/>
  <c r="G28" i="60"/>
  <c r="G27" i="60"/>
  <c r="G26" i="60"/>
  <c r="B18" i="60"/>
  <c r="B14" i="60"/>
  <c r="C24" i="59"/>
  <c r="E24" i="59" s="1"/>
  <c r="G24" i="59" s="1"/>
  <c r="E23" i="59"/>
  <c r="G28" i="59"/>
  <c r="G27" i="59"/>
  <c r="G26" i="59"/>
  <c r="G25" i="59"/>
  <c r="B18" i="59"/>
  <c r="B14" i="59"/>
  <c r="G40" i="58"/>
  <c r="C24" i="58"/>
  <c r="E24" i="58" s="1"/>
  <c r="E23" i="58"/>
  <c r="G23" i="58" s="1"/>
  <c r="G28" i="58"/>
  <c r="G27" i="58"/>
  <c r="G26" i="58"/>
  <c r="G25" i="58"/>
  <c r="B18" i="58"/>
  <c r="B14" i="58"/>
  <c r="G40" i="57"/>
  <c r="G40" i="2"/>
  <c r="C24" i="57"/>
  <c r="E24" i="57" s="1"/>
  <c r="G24" i="57" s="1"/>
  <c r="G28" i="57"/>
  <c r="G27" i="57"/>
  <c r="G26" i="57"/>
  <c r="B18" i="57"/>
  <c r="B14" i="57"/>
  <c r="C24" i="2"/>
  <c r="E24" i="2" s="1"/>
  <c r="G26" i="2"/>
  <c r="G27" i="2"/>
  <c r="G28" i="2"/>
  <c r="B14" i="2"/>
  <c r="B18" i="2"/>
  <c r="E23" i="2"/>
  <c r="E25" i="2" s="1"/>
  <c r="G25" i="2" s="1"/>
  <c r="C15" i="32"/>
  <c r="G26" i="32"/>
  <c r="G29" i="32"/>
  <c r="G33" i="32"/>
  <c r="G27" i="32"/>
  <c r="G25" i="64"/>
  <c r="G25" i="63"/>
  <c r="G25" i="76"/>
  <c r="G34" i="81"/>
  <c r="G32" i="81"/>
  <c r="G36" i="81"/>
  <c r="G40" i="81"/>
  <c r="G33" i="81"/>
  <c r="C19" i="81"/>
  <c r="G24" i="86"/>
  <c r="G39" i="125" l="1"/>
  <c r="G43" i="125" s="1"/>
  <c r="F17" i="1" s="1"/>
  <c r="G38" i="120"/>
  <c r="G42" i="120" s="1"/>
  <c r="F16" i="1" s="1"/>
  <c r="G39" i="118"/>
  <c r="G43" i="118" s="1"/>
  <c r="F4" i="1" s="1"/>
  <c r="G23" i="94"/>
  <c r="E25" i="94"/>
  <c r="G25" i="94" s="1"/>
  <c r="G23" i="90"/>
  <c r="E25" i="90"/>
  <c r="G25" i="90" s="1"/>
  <c r="G29" i="117"/>
  <c r="G31" i="117" s="1"/>
  <c r="G32" i="117" s="1"/>
  <c r="G31" i="115"/>
  <c r="G32" i="115" s="1"/>
  <c r="G36" i="113"/>
  <c r="G35" i="113"/>
  <c r="G34" i="113"/>
  <c r="G31" i="111"/>
  <c r="G32" i="111" s="1"/>
  <c r="G37" i="109"/>
  <c r="G36" i="109"/>
  <c r="G35" i="109"/>
  <c r="G34" i="109"/>
  <c r="E25" i="60"/>
  <c r="G25" i="60" s="1"/>
  <c r="G29" i="60" s="1"/>
  <c r="G23" i="106"/>
  <c r="E37" i="106"/>
  <c r="G37" i="106" s="1"/>
  <c r="G24" i="106"/>
  <c r="E25" i="57"/>
  <c r="G25" i="57" s="1"/>
  <c r="G29" i="57" s="1"/>
  <c r="E25" i="65"/>
  <c r="G25" i="65" s="1"/>
  <c r="G29" i="65" s="1"/>
  <c r="G23" i="86"/>
  <c r="G29" i="86" s="1"/>
  <c r="G31" i="86" s="1"/>
  <c r="G32" i="86" s="1"/>
  <c r="G23" i="2"/>
  <c r="G24" i="2"/>
  <c r="E37" i="2"/>
  <c r="G37" i="2" s="1"/>
  <c r="G24" i="104"/>
  <c r="G29" i="104" s="1"/>
  <c r="G31" i="104" s="1"/>
  <c r="G32" i="104" s="1"/>
  <c r="G34" i="104" s="1"/>
  <c r="E37" i="104"/>
  <c r="G37" i="104" s="1"/>
  <c r="E37" i="57"/>
  <c r="G37" i="57" s="1"/>
  <c r="E37" i="59"/>
  <c r="G37" i="59" s="1"/>
  <c r="E37" i="60"/>
  <c r="G37" i="60" s="1"/>
  <c r="E25" i="62"/>
  <c r="G25" i="62" s="1"/>
  <c r="G29" i="62" s="1"/>
  <c r="E25" i="73"/>
  <c r="G25" i="73" s="1"/>
  <c r="E37" i="94"/>
  <c r="G37" i="94" s="1"/>
  <c r="G24" i="94"/>
  <c r="E38" i="83"/>
  <c r="G38" i="83" s="1"/>
  <c r="G24" i="91"/>
  <c r="G29" i="91" s="1"/>
  <c r="E37" i="91"/>
  <c r="G37" i="91" s="1"/>
  <c r="E37" i="58"/>
  <c r="G37" i="58" s="1"/>
  <c r="G24" i="58"/>
  <c r="G29" i="58" s="1"/>
  <c r="G29" i="83"/>
  <c r="G29" i="72"/>
  <c r="G24" i="87"/>
  <c r="G29" i="87" s="1"/>
  <c r="E38" i="87"/>
  <c r="G38" i="87" s="1"/>
  <c r="G24" i="88"/>
  <c r="G29" i="88" s="1"/>
  <c r="E37" i="88"/>
  <c r="G37" i="88" s="1"/>
  <c r="E37" i="64"/>
  <c r="G37" i="64" s="1"/>
  <c r="G24" i="64"/>
  <c r="G29" i="64" s="1"/>
  <c r="G24" i="73"/>
  <c r="E37" i="73"/>
  <c r="G37" i="73" s="1"/>
  <c r="G29" i="76"/>
  <c r="G24" i="79"/>
  <c r="G29" i="79" s="1"/>
  <c r="E37" i="79"/>
  <c r="G37" i="79" s="1"/>
  <c r="G31" i="63"/>
  <c r="G32" i="63" s="1"/>
  <c r="E37" i="90"/>
  <c r="G37" i="90" s="1"/>
  <c r="E37" i="72"/>
  <c r="G37" i="72" s="1"/>
  <c r="G23" i="59"/>
  <c r="G29" i="59" s="1"/>
  <c r="E37" i="65"/>
  <c r="G37" i="65" s="1"/>
  <c r="E38" i="76"/>
  <c r="G38" i="76" s="1"/>
  <c r="E37" i="62"/>
  <c r="G37" i="62" s="1"/>
  <c r="G36" i="117" l="1"/>
  <c r="G29" i="94"/>
  <c r="G31" i="94" s="1"/>
  <c r="G32" i="94" s="1"/>
  <c r="G29" i="90"/>
  <c r="G31" i="90" s="1"/>
  <c r="G34" i="117"/>
  <c r="G35" i="117"/>
  <c r="G34" i="115"/>
  <c r="G36" i="115"/>
  <c r="G35" i="115"/>
  <c r="G40" i="113"/>
  <c r="G44" i="113" s="1"/>
  <c r="F31" i="1" s="1"/>
  <c r="G40" i="109"/>
  <c r="G44" i="109" s="1"/>
  <c r="F6" i="1" s="1"/>
  <c r="G36" i="111"/>
  <c r="G35" i="111"/>
  <c r="G34" i="111"/>
  <c r="G29" i="106"/>
  <c r="G31" i="106" s="1"/>
  <c r="G32" i="106" s="1"/>
  <c r="G29" i="73"/>
  <c r="G31" i="73" s="1"/>
  <c r="G32" i="73" s="1"/>
  <c r="G29" i="2"/>
  <c r="G31" i="2" s="1"/>
  <c r="G32" i="2" s="1"/>
  <c r="G31" i="62"/>
  <c r="G32" i="62" s="1"/>
  <c r="G34" i="86"/>
  <c r="G36" i="86"/>
  <c r="G35" i="86"/>
  <c r="G35" i="104"/>
  <c r="G36" i="104"/>
  <c r="G31" i="64"/>
  <c r="G32" i="64" s="1"/>
  <c r="G31" i="87"/>
  <c r="G32" i="87" s="1"/>
  <c r="G31" i="88"/>
  <c r="G32" i="88" s="1"/>
  <c r="G31" i="79"/>
  <c r="G32" i="79" s="1"/>
  <c r="G31" i="65"/>
  <c r="G32" i="65" s="1"/>
  <c r="G31" i="58"/>
  <c r="G32" i="58" s="1"/>
  <c r="G31" i="76"/>
  <c r="G32" i="76" s="1"/>
  <c r="G31" i="72"/>
  <c r="G32" i="72" s="1"/>
  <c r="G31" i="83"/>
  <c r="G32" i="83" s="1"/>
  <c r="G31" i="57"/>
  <c r="G32" i="57" s="1"/>
  <c r="G34" i="63"/>
  <c r="G36" i="63"/>
  <c r="G35" i="63"/>
  <c r="G31" i="60"/>
  <c r="G32" i="60" s="1"/>
  <c r="G31" i="91"/>
  <c r="G32" i="91" s="1"/>
  <c r="G31" i="59"/>
  <c r="G32" i="59" s="1"/>
  <c r="G39" i="117" l="1"/>
  <c r="G43" i="117" s="1"/>
  <c r="F37" i="1" s="1"/>
  <c r="G32" i="90"/>
  <c r="G34" i="90" s="1"/>
  <c r="G38" i="115"/>
  <c r="G42" i="115" s="1"/>
  <c r="F5" i="1" s="1"/>
  <c r="G38" i="111"/>
  <c r="G42" i="111" s="1"/>
  <c r="F11" i="1" s="1"/>
  <c r="G36" i="106"/>
  <c r="G35" i="106"/>
  <c r="G34" i="106"/>
  <c r="G38" i="86"/>
  <c r="G42" i="86" s="1"/>
  <c r="F10" i="1" s="1"/>
  <c r="G38" i="104"/>
  <c r="G42" i="104" s="1"/>
  <c r="F27" i="1" s="1"/>
  <c r="G35" i="62"/>
  <c r="G36" i="62"/>
  <c r="G34" i="62"/>
  <c r="G39" i="63"/>
  <c r="G43" i="63" s="1"/>
  <c r="F23" i="1" s="1"/>
  <c r="G35" i="58"/>
  <c r="G36" i="58"/>
  <c r="G34" i="58"/>
  <c r="G34" i="59"/>
  <c r="G35" i="59"/>
  <c r="G36" i="59"/>
  <c r="G35" i="60"/>
  <c r="G36" i="60"/>
  <c r="G34" i="60"/>
  <c r="G36" i="73"/>
  <c r="G35" i="73"/>
  <c r="G34" i="73"/>
  <c r="G36" i="87"/>
  <c r="G34" i="87"/>
  <c r="G35" i="87"/>
  <c r="G36" i="91"/>
  <c r="G34" i="91"/>
  <c r="G35" i="91"/>
  <c r="G35" i="79"/>
  <c r="G34" i="79"/>
  <c r="G36" i="79"/>
  <c r="G35" i="88"/>
  <c r="G34" i="88"/>
  <c r="G36" i="88"/>
  <c r="G36" i="64"/>
  <c r="G35" i="64"/>
  <c r="G34" i="64"/>
  <c r="G36" i="94"/>
  <c r="G35" i="94"/>
  <c r="G34" i="94"/>
  <c r="G35" i="65"/>
  <c r="G36" i="65"/>
  <c r="G34" i="65"/>
  <c r="G35" i="76"/>
  <c r="G36" i="76"/>
  <c r="G34" i="76"/>
  <c r="G34" i="57"/>
  <c r="G36" i="57"/>
  <c r="G35" i="57"/>
  <c r="G34" i="83"/>
  <c r="G35" i="83"/>
  <c r="G36" i="83"/>
  <c r="G35" i="2"/>
  <c r="G36" i="2"/>
  <c r="G34" i="2"/>
  <c r="G35" i="72"/>
  <c r="G36" i="72"/>
  <c r="G34" i="72"/>
  <c r="G39" i="87" l="1"/>
  <c r="G43" i="87" s="1"/>
  <c r="F22" i="1" s="1"/>
  <c r="G36" i="90"/>
  <c r="G35" i="90"/>
  <c r="G38" i="106"/>
  <c r="G43" i="106" s="1"/>
  <c r="F21" i="1" s="1"/>
  <c r="G38" i="72"/>
  <c r="G42" i="72" s="1"/>
  <c r="F34" i="1" s="1"/>
  <c r="G38" i="64"/>
  <c r="G42" i="64" s="1"/>
  <c r="F28" i="1" s="1"/>
  <c r="G38" i="62"/>
  <c r="G42" i="62" s="1"/>
  <c r="F19" i="1" s="1"/>
  <c r="G38" i="79"/>
  <c r="G38" i="60"/>
  <c r="G43" i="60" s="1"/>
  <c r="F15" i="1" s="1"/>
  <c r="G38" i="91"/>
  <c r="G42" i="91" s="1"/>
  <c r="F8" i="1" s="1"/>
  <c r="G38" i="59"/>
  <c r="G43" i="59" s="1"/>
  <c r="F14" i="1" s="1"/>
  <c r="G38" i="2"/>
  <c r="G42" i="2" s="1"/>
  <c r="F3" i="1" s="1"/>
  <c r="G39" i="83"/>
  <c r="G44" i="83" s="1"/>
  <c r="F32" i="1" s="1"/>
  <c r="G38" i="73"/>
  <c r="G42" i="73" s="1"/>
  <c r="F35" i="1" s="1"/>
  <c r="G39" i="76"/>
  <c r="G43" i="76" s="1"/>
  <c r="F36" i="1" s="1"/>
  <c r="G38" i="94"/>
  <c r="G42" i="94" s="1"/>
  <c r="F20" i="1" s="1"/>
  <c r="G38" i="88"/>
  <c r="G42" i="88" s="1"/>
  <c r="F12" i="1" s="1"/>
  <c r="G38" i="58"/>
  <c r="G42" i="58" s="1"/>
  <c r="F13" i="1" s="1"/>
  <c r="G38" i="57"/>
  <c r="G42" i="57" s="1"/>
  <c r="F9" i="1" s="1"/>
  <c r="G38" i="65"/>
  <c r="G42" i="65" s="1"/>
  <c r="F29" i="1" s="1"/>
  <c r="G38" i="90" l="1"/>
  <c r="G42" i="90" s="1"/>
  <c r="F7" i="1" s="1"/>
  <c r="G42" i="79"/>
  <c r="F24" i="1" s="1"/>
  <c r="F38" i="1" l="1"/>
</calcChain>
</file>

<file path=xl/sharedStrings.xml><?xml version="1.0" encoding="utf-8"?>
<sst xmlns="http://schemas.openxmlformats.org/spreadsheetml/2006/main" count="2117" uniqueCount="278">
  <si>
    <t>Monat</t>
  </si>
  <si>
    <t>Auszahlung per</t>
  </si>
  <si>
    <t>Name</t>
  </si>
  <si>
    <t>STUNDEN</t>
  </si>
  <si>
    <t>ZUSCHLÄGE NSF</t>
  </si>
  <si>
    <t>Betrag</t>
  </si>
  <si>
    <t>Blesinger</t>
  </si>
  <si>
    <t>Reto</t>
  </si>
  <si>
    <t>Camozzi</t>
  </si>
  <si>
    <t>Fabio</t>
  </si>
  <si>
    <t>Diz</t>
  </si>
  <si>
    <t>Humberto</t>
  </si>
  <si>
    <t>Duchene</t>
  </si>
  <si>
    <t>Renato</t>
  </si>
  <si>
    <t>Egli</t>
  </si>
  <si>
    <t>Andrea</t>
  </si>
  <si>
    <t>Grüter</t>
  </si>
  <si>
    <t>Benedikt</t>
  </si>
  <si>
    <t>Jan</t>
  </si>
  <si>
    <t>Käch</t>
  </si>
  <si>
    <t>Yvonne</t>
  </si>
  <si>
    <t>Roccasalva</t>
  </si>
  <si>
    <t>Raffaele</t>
  </si>
  <si>
    <t>Schaffner</t>
  </si>
  <si>
    <t>Andreas</t>
  </si>
  <si>
    <t>Stalder</t>
  </si>
  <si>
    <t>Severin</t>
  </si>
  <si>
    <t xml:space="preserve">Lussi </t>
  </si>
  <si>
    <t>Werner</t>
  </si>
  <si>
    <t>Werner Sen</t>
  </si>
  <si>
    <t>Total Löhne</t>
  </si>
  <si>
    <t>Blesinger Sicherheits Dienste GmbH</t>
  </si>
  <si>
    <t>Postfach 28</t>
  </si>
  <si>
    <t>6314 Unterägeri</t>
  </si>
  <si>
    <t>www.blesingersicherheit.ch</t>
  </si>
  <si>
    <t>info@blesingersicherheit.ch</t>
  </si>
  <si>
    <t>Mwst Nr. 561 023</t>
  </si>
  <si>
    <t>Herr</t>
  </si>
  <si>
    <t>Lohnblatt</t>
  </si>
  <si>
    <t>Abteilung</t>
  </si>
  <si>
    <t>Sicherheit</t>
  </si>
  <si>
    <t>Abrechnungsdatum</t>
  </si>
  <si>
    <t>Nr.</t>
  </si>
  <si>
    <t>Bezeichnung</t>
  </si>
  <si>
    <t>Einheit</t>
  </si>
  <si>
    <t>Ansatz</t>
  </si>
  <si>
    <t>Basislohn</t>
  </si>
  <si>
    <t>Spezialzuschlag gemäss Vertrag</t>
  </si>
  <si>
    <t>Zwischentotal</t>
  </si>
  <si>
    <t>Ferienentschädigung</t>
  </si>
  <si>
    <t>AHV pflichtiger Bruttolohn</t>
  </si>
  <si>
    <t>ALV</t>
  </si>
  <si>
    <t>Krankentaggeld/UVG</t>
  </si>
  <si>
    <t>Total</t>
  </si>
  <si>
    <t>Spesen gemäss Nachweis</t>
  </si>
  <si>
    <t>Rundungsdifferenz</t>
  </si>
  <si>
    <t>Total Auszahlung</t>
  </si>
  <si>
    <t>Blesinger Sicherheitsdienste GmbH</t>
  </si>
  <si>
    <t>Renato Duchene</t>
  </si>
  <si>
    <t>Lorzentobel</t>
  </si>
  <si>
    <t>Frau</t>
  </si>
  <si>
    <t>Letten 12b</t>
  </si>
  <si>
    <t>8484 Weisslingen</t>
  </si>
  <si>
    <t>6340 Baar</t>
  </si>
  <si>
    <t>6276 Hohenrain</t>
  </si>
  <si>
    <t>Melanie Knüsel</t>
  </si>
  <si>
    <t>Kinderzulage</t>
  </si>
  <si>
    <t xml:space="preserve">Herr </t>
  </si>
  <si>
    <t>6330 Cham</t>
  </si>
  <si>
    <t>Werner Lussi</t>
  </si>
  <si>
    <t>6331 Hünenberg</t>
  </si>
  <si>
    <t>Unterer Chämletenweg 8</t>
  </si>
  <si>
    <t>Hitzkirchstrasse 3</t>
  </si>
  <si>
    <t>6027 Römerswil</t>
  </si>
  <si>
    <t>Unfalltaggeld Versicherungsanspruch Basler Vers.</t>
  </si>
  <si>
    <t>Vorschuss Restguthaben</t>
  </si>
  <si>
    <t>Wir bitten Sie, die Lohnabrechnung sofort zu prüfen und Unstimmigkeiten schriftlich innerhalb von 10 Tage per Mail mitzuteilen!</t>
  </si>
  <si>
    <t>Freundlich Grüsse</t>
  </si>
  <si>
    <t>6313 Edlibach</t>
  </si>
  <si>
    <t>Reto Blesinger</t>
  </si>
  <si>
    <t>Fabio Camozzi</t>
  </si>
  <si>
    <t>Humberto Diz Cortegoso</t>
  </si>
  <si>
    <t>Andrea Egli</t>
  </si>
  <si>
    <t xml:space="preserve">Benedikt Grüter </t>
  </si>
  <si>
    <t>Yvonne Käch</t>
  </si>
  <si>
    <t>6333 Hünenberg See</t>
  </si>
  <si>
    <t>Löbernstrasse 3</t>
  </si>
  <si>
    <t>Raffaele Roccasalva</t>
  </si>
  <si>
    <t>Enikerweg 16</t>
  </si>
  <si>
    <t>Andreas Schaffner</t>
  </si>
  <si>
    <t>Evelyn Scheidegger</t>
  </si>
  <si>
    <t>Severin Stalder</t>
  </si>
  <si>
    <t>Mann 0.6905%</t>
  </si>
  <si>
    <t>Frau 0.8775%</t>
  </si>
  <si>
    <t>Bösch 1</t>
  </si>
  <si>
    <t>Administration</t>
  </si>
  <si>
    <t>Anstellungskategorie</t>
  </si>
  <si>
    <t>C</t>
  </si>
  <si>
    <t>Anstellungsort</t>
  </si>
  <si>
    <t>Rainstrasse 37, Unterägeri</t>
  </si>
  <si>
    <t>Dienstjahr</t>
  </si>
  <si>
    <t>Ferienguthaben</t>
  </si>
  <si>
    <t>Abwesenheit</t>
  </si>
  <si>
    <t>Krankheitstage bezahlt</t>
  </si>
  <si>
    <t>Fahrzeitentschädigung</t>
  </si>
  <si>
    <t>Regiezone</t>
  </si>
  <si>
    <t>per Mail mitzuteilen!</t>
  </si>
  <si>
    <t xml:space="preserve">Wir bitten Sie die Lohnabrechnung sofort zu prüfen und Unstimmigkeiten schriftlich innerhalb von 10 Tagen </t>
  </si>
  <si>
    <t>Freundliche Grüsse</t>
  </si>
  <si>
    <t>Mehrzeit/Unterzeit</t>
  </si>
  <si>
    <t>AHV/IV/EO</t>
  </si>
  <si>
    <t>Nicht GAV Pflichtig</t>
  </si>
  <si>
    <t>Weinbergstrasse 8, Baar</t>
  </si>
  <si>
    <t>Stunden per</t>
  </si>
  <si>
    <t>Stunden mit Zeitzuschlag</t>
  </si>
  <si>
    <t>Pauschalzone</t>
  </si>
  <si>
    <t>Std.</t>
  </si>
  <si>
    <t>Rigistrasse 162</t>
  </si>
  <si>
    <t>Werner Lussi Senior</t>
  </si>
  <si>
    <t>Aus- und Weiterbildungskosten inkl. Ferienentschädigung</t>
  </si>
  <si>
    <t>AHV Nr. 756.1143.0759.88</t>
  </si>
  <si>
    <t>AHV Nr. 756.3741.3891.15</t>
  </si>
  <si>
    <t>AHV Nr. 756.6745.9885.44</t>
  </si>
  <si>
    <t>AHV Nr. 756.8264.5410.64</t>
  </si>
  <si>
    <t>AHV Nr. 756.9747.4054.39</t>
  </si>
  <si>
    <t>AHV Nr. 756.4234.8454.22</t>
  </si>
  <si>
    <t>AHV Nr. 756.5327.5578.88</t>
  </si>
  <si>
    <t>AHV Nr. 756.6937.5658.67</t>
  </si>
  <si>
    <t>AHV Nr. 756.3461.4739.96</t>
  </si>
  <si>
    <t>AHV Nr. 756.0962.2485.66</t>
  </si>
  <si>
    <t>AHV Nr. 756.2758.4622.31</t>
  </si>
  <si>
    <t>BVG Arbeitnehmeranteil</t>
  </si>
  <si>
    <t>Weinbergstrasse 8</t>
  </si>
  <si>
    <t>B</t>
  </si>
  <si>
    <t>AHV Nr. 756.7713.6157.76</t>
  </si>
  <si>
    <t>Gerbistrasse 8</t>
  </si>
  <si>
    <t>6318 Walchwil</t>
  </si>
  <si>
    <t>Kolb</t>
  </si>
  <si>
    <t>Mike</t>
  </si>
  <si>
    <t>Mike Kolb</t>
  </si>
  <si>
    <t xml:space="preserve">AHV Nr. 756.4164.0592.27 </t>
  </si>
  <si>
    <t>AHV Nr. 756.7257.8176.29</t>
  </si>
  <si>
    <t>Schachenstrasse 7</t>
  </si>
  <si>
    <t>6020 Emmenbrücke</t>
  </si>
  <si>
    <t>Parkplatzbewirtschaftung</t>
  </si>
  <si>
    <t>Tage</t>
  </si>
  <si>
    <t>Fr.</t>
  </si>
  <si>
    <t>Anspruch auf 80%</t>
  </si>
  <si>
    <t>bereits im Krankentaggeld enthalten</t>
  </si>
  <si>
    <t>Basiert auf dem Durchschnitt vom Bruttolohn der letzten 9 Monate</t>
  </si>
  <si>
    <t>Krankentaggeld ab 2. Tag vom 16.07. bis 02.08.2020</t>
  </si>
  <si>
    <t>AHV Nr. 756.8914.9192.67</t>
  </si>
  <si>
    <t>Bellevuerain 3</t>
  </si>
  <si>
    <t>6280 Hochdorf</t>
  </si>
  <si>
    <t>Prenqaj</t>
  </si>
  <si>
    <t>Zef</t>
  </si>
  <si>
    <t xml:space="preserve">Zef Prenqaj </t>
  </si>
  <si>
    <t>Gesamtstunden gemäss beigelgtem Stundennachweis</t>
  </si>
  <si>
    <t>.</t>
  </si>
  <si>
    <t>Günikon 9</t>
  </si>
  <si>
    <t>Seminar</t>
  </si>
  <si>
    <t>Fabio Seminar</t>
  </si>
  <si>
    <t>Spesen Schiesskurs Stunden 5 à Fr. 10.00</t>
  </si>
  <si>
    <t>Jannine Käch</t>
  </si>
  <si>
    <t>AHV Nr. 756.1168.7567.49</t>
  </si>
  <si>
    <t>Jannine</t>
  </si>
  <si>
    <t>Costa</t>
  </si>
  <si>
    <t>Fabio Costa</t>
  </si>
  <si>
    <t>AHV Nr. 756.2995.3306.07</t>
  </si>
  <si>
    <t>Birrer</t>
  </si>
  <si>
    <t>Bruno</t>
  </si>
  <si>
    <t>Rinaldo</t>
  </si>
  <si>
    <t>Bruno Birrer</t>
  </si>
  <si>
    <t>Obernauerstrasse 90</t>
  </si>
  <si>
    <t>6012 Obernau</t>
  </si>
  <si>
    <t>AHV Nr. 756.5410.8021.92</t>
  </si>
  <si>
    <t>Rinaldo Birrer</t>
  </si>
  <si>
    <t>AHV Nr. 756.2028.9360.80</t>
  </si>
  <si>
    <t>Schachenstr. 7, Emmenbrücke</t>
  </si>
  <si>
    <t>Hiestand</t>
  </si>
  <si>
    <t>Philipp</t>
  </si>
  <si>
    <t>Philipp Hiestand</t>
  </si>
  <si>
    <t>AHV Nr. 756.8057.3918.90</t>
  </si>
  <si>
    <t>Lindenmeyer</t>
  </si>
  <si>
    <t>Sebastian</t>
  </si>
  <si>
    <t>Sebastian Lindenmeyer</t>
  </si>
  <si>
    <t>Schellenstrasse 25</t>
  </si>
  <si>
    <t>8708 Männedorf</t>
  </si>
  <si>
    <t>AHV Nr. 756.6778.3837.74</t>
  </si>
  <si>
    <t>Shirin Hug</t>
  </si>
  <si>
    <t>Untere Halten 13</t>
  </si>
  <si>
    <t>6032 Emmen</t>
  </si>
  <si>
    <t>AHV Nr. 756.2155.2643.15</t>
  </si>
  <si>
    <t>Hug</t>
  </si>
  <si>
    <t>Shirin</t>
  </si>
  <si>
    <t>Spesen Nachweis</t>
  </si>
  <si>
    <t>Mann 0.649%</t>
  </si>
  <si>
    <t>Frau 1.1225%</t>
  </si>
  <si>
    <t>Höhenstrasse 13</t>
  </si>
  <si>
    <t>Beirer</t>
  </si>
  <si>
    <t>Clemens</t>
  </si>
  <si>
    <t>Beirer Clemens</t>
  </si>
  <si>
    <t>Im Adelmann 7</t>
  </si>
  <si>
    <t>6422 Steinen</t>
  </si>
  <si>
    <t>AHV Nr. 756.1977.5052.62</t>
  </si>
  <si>
    <t>Bryan Coray</t>
  </si>
  <si>
    <t>Langackerstrasse 2</t>
  </si>
  <si>
    <t>AHV Nr. 756.4542.3093.26</t>
  </si>
  <si>
    <t>Coray</t>
  </si>
  <si>
    <t>Bryan</t>
  </si>
  <si>
    <t>Quellensteuer Tarif AOY vom AHV pflichtigen Bruttolohn</t>
  </si>
  <si>
    <t xml:space="preserve">Gjesika Prenqaj </t>
  </si>
  <si>
    <t>AHV Nr. 756.8515.7628.59</t>
  </si>
  <si>
    <t>Gjesika</t>
  </si>
  <si>
    <t>Quellensteuer 4.Q.2023 Rückzahlung</t>
  </si>
  <si>
    <t xml:space="preserve">Baumann </t>
  </si>
  <si>
    <t>Rolf</t>
  </si>
  <si>
    <t>Rolf Markus Baumann</t>
  </si>
  <si>
    <t>Stutzrain 57</t>
  </si>
  <si>
    <t>6005 St. Niklausen</t>
  </si>
  <si>
    <t>Bachmattli 2</t>
  </si>
  <si>
    <t>Luzernerstrasse 4</t>
  </si>
  <si>
    <t>April</t>
  </si>
  <si>
    <t>Unfall vom 29.3.2024</t>
  </si>
  <si>
    <t>Entschädigung Unfall vom 29.3.2024</t>
  </si>
  <si>
    <t>bereits im UVG enthalten</t>
  </si>
  <si>
    <t>Aconto Zahlung am 10.05.2024</t>
  </si>
  <si>
    <t xml:space="preserve">Mann </t>
  </si>
  <si>
    <t xml:space="preserve">Frau </t>
  </si>
  <si>
    <t>Stocker</t>
  </si>
  <si>
    <t>Norina</t>
  </si>
  <si>
    <t>AHV Nr. 756.1268.4847.26</t>
  </si>
  <si>
    <t>Norina Stocker</t>
  </si>
  <si>
    <t>Unterer Chämletenweg 3b</t>
  </si>
  <si>
    <t>Diana Blesinger</t>
  </si>
  <si>
    <t>Waldheimstrasse 43</t>
  </si>
  <si>
    <t>AHV Nr. 756.6420 3981 49</t>
  </si>
  <si>
    <t>Diana</t>
  </si>
  <si>
    <t>Albisstrasse 47a</t>
  </si>
  <si>
    <t>8932 Mettmenstetten</t>
  </si>
  <si>
    <t>Hauptstrasse 1</t>
  </si>
  <si>
    <t>6170 Schüpfheim</t>
  </si>
  <si>
    <t>AHV Nr. 756.3562.5832.97</t>
  </si>
  <si>
    <t>Patrick Gabriel</t>
  </si>
  <si>
    <t>Schutzengelstrasse 53</t>
  </si>
  <si>
    <t>Gabriel</t>
  </si>
  <si>
    <t>Patrick</t>
  </si>
  <si>
    <t>Bettina Egli</t>
  </si>
  <si>
    <t>Soorhaldenstrasse 12</t>
  </si>
  <si>
    <t>8308 Illnau</t>
  </si>
  <si>
    <t>AHV Nr. 756.5497.2740.35</t>
  </si>
  <si>
    <t>Bettina</t>
  </si>
  <si>
    <t>AHV Nr. 756.6402.2930.73</t>
  </si>
  <si>
    <t>Julijana</t>
  </si>
  <si>
    <t>Julijana Roccasalva</t>
  </si>
  <si>
    <t>AHV Nr. 756.7704.3621.08</t>
  </si>
  <si>
    <t>Kolb, Spesen</t>
  </si>
  <si>
    <t>Abraham Gabriel</t>
  </si>
  <si>
    <t>AHV Nr. 756.4142.0078.68</t>
  </si>
  <si>
    <t>Abraham</t>
  </si>
  <si>
    <t>Quellensteuer Tarif COY vom AHV pflichtigen Bruttolohn</t>
  </si>
  <si>
    <t xml:space="preserve">Quellensteuer Korrektur </t>
  </si>
  <si>
    <t>Kostovic</t>
  </si>
  <si>
    <t>Ivan</t>
  </si>
  <si>
    <t>Ivan Kostovic</t>
  </si>
  <si>
    <t>Luzernerstrasse 8</t>
  </si>
  <si>
    <t>6030 Ebikon</t>
  </si>
  <si>
    <t>AHV Nr. 756.8243.0450.02</t>
  </si>
  <si>
    <t>Entschädigung Unfall vom 08.01. bis 27.01.2026</t>
  </si>
  <si>
    <t>Rundung</t>
  </si>
  <si>
    <t>Jan Pegoraro</t>
  </si>
  <si>
    <t>Franzenmattweg 2</t>
  </si>
  <si>
    <t>6315 Oberägeri</t>
  </si>
  <si>
    <t>AHV Nr. 756.6916.9012.42</t>
  </si>
  <si>
    <t xml:space="preserve">Pegoraro </t>
  </si>
  <si>
    <t>17</t>
  </si>
  <si>
    <t>+19.12</t>
  </si>
  <si>
    <t>März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</si>
</sst>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&quot;SFr. &quot;* #,##0.00_ ;_ &quot;SFr. &quot;* \-#,##0.00_ ;_ &quot;SFr. &quot;* \-??_ ;_ @_ "/>
    <numFmt numFmtId="165" formatCode="mm/yy"/>
    <numFmt numFmtId="166" formatCode="0.000"/>
    <numFmt numFmtId="167" formatCode="_ &quot;Fr. &quot;* #,##0.00_ ;_ &quot;Fr. &quot;* \-#,##0.00_ ;_ &quot;Fr. &quot;* \-??_ ;_ @_ "/>
    <numFmt numFmtId="168" formatCode="mmmm\ yyyy"/>
    <numFmt numFmtId="169" formatCode="dd/mm/yyyy;@"/>
    <numFmt numFmtId="170" formatCode="0.000%"/>
    <numFmt numFmtId="171" formatCode="d/\ mmmm\ yyyy"/>
    <numFmt numFmtId="172" formatCode="0.0000%"/>
    <numFmt numFmtId="173" formatCode="#,##0.00_ ;\-#,##0.00\ "/>
    <numFmt numFmtId="174" formatCode="&quot;CHF&quot;\ #,##0.00"/>
    <numFmt numFmtId="175" formatCode="_ &quot;Fr. &quot;* #,##0.000_ ;_ &quot;Fr. &quot;* \-#,##0.000_ ;_ &quot;Fr. &quot;* \-??_ ;_ @_ "/>
  </numFmts>
  <fonts count="29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name val="Arial Narrow"/>
      <family val="2"/>
    </font>
    <font>
      <b/>
      <sz val="18"/>
      <name val="Arial Narrow"/>
      <family val="2"/>
    </font>
    <font>
      <sz val="11"/>
      <name val="Arial Narrow"/>
      <family val="2"/>
    </font>
    <font>
      <b/>
      <sz val="20"/>
      <name val="Arial Narrow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sz val="9"/>
      <name val="Arial Narrow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22"/>
        <bgColor indexed="55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2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2"/>
        <bgColor indexed="27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</fills>
  <borders count="1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3" fillId="2" borderId="1" applyNumberFormat="0" applyAlignment="0" applyProtection="0"/>
    <xf numFmtId="0" fontId="4" fillId="2" borderId="2" applyNumberFormat="0" applyAlignment="0" applyProtection="0"/>
    <xf numFmtId="0" fontId="5" fillId="3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16" borderId="0" applyNumberFormat="0" applyBorder="0" applyAlignment="0" applyProtection="0"/>
    <xf numFmtId="0" fontId="9" fillId="8" borderId="0" applyNumberFormat="0" applyBorder="0" applyAlignment="0" applyProtection="0"/>
    <xf numFmtId="0" fontId="28" fillId="4" borderId="4" applyNumberFormat="0" applyAlignment="0" applyProtection="0"/>
    <xf numFmtId="0" fontId="28" fillId="4" borderId="5" applyNumberFormat="0" applyAlignment="0" applyProtection="0"/>
    <xf numFmtId="0" fontId="10" fillId="17" borderId="0" applyNumberFormat="0" applyBorder="0" applyAlignment="0" applyProtection="0"/>
    <xf numFmtId="0" fontId="1" fillId="0" borderId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1" fillId="0" borderId="9" applyNumberFormat="0" applyFill="0" applyAlignment="0" applyProtection="0"/>
    <xf numFmtId="164" fontId="28" fillId="0" borderId="0" applyFill="0" applyBorder="0" applyAlignment="0" applyProtection="0"/>
    <xf numFmtId="0" fontId="12" fillId="0" borderId="0" applyNumberFormat="0" applyFill="0" applyBorder="0" applyAlignment="0" applyProtection="0"/>
    <xf numFmtId="0" fontId="13" fillId="11" borderId="10" applyNumberFormat="0" applyAlignment="0" applyProtection="0"/>
  </cellStyleXfs>
  <cellXfs count="84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left" vertical="center"/>
    </xf>
    <xf numFmtId="14" fontId="22" fillId="0" borderId="0" xfId="0" applyNumberFormat="1" applyFont="1" applyAlignment="1">
      <alignment horizontal="left" vertical="center"/>
    </xf>
    <xf numFmtId="14" fontId="20" fillId="6" borderId="0" xfId="0" applyNumberFormat="1" applyFont="1" applyFill="1" applyAlignment="1">
      <alignment vertical="center"/>
    </xf>
    <xf numFmtId="0" fontId="18" fillId="0" borderId="0" xfId="0" applyFont="1" applyAlignment="1">
      <alignment horizontal="left" vertical="center"/>
    </xf>
    <xf numFmtId="2" fontId="23" fillId="0" borderId="0" xfId="0" applyNumberFormat="1" applyFont="1"/>
    <xf numFmtId="167" fontId="26" fillId="2" borderId="11" xfId="0" applyNumberFormat="1" applyFont="1" applyFill="1" applyBorder="1"/>
    <xf numFmtId="167" fontId="26" fillId="0" borderId="11" xfId="0" applyNumberFormat="1" applyFont="1" applyBorder="1"/>
    <xf numFmtId="0" fontId="18" fillId="0" borderId="0" xfId="0" applyFont="1" applyAlignment="1">
      <alignment horizontal="left"/>
    </xf>
    <xf numFmtId="0" fontId="23" fillId="0" borderId="0" xfId="0" applyFont="1"/>
    <xf numFmtId="167" fontId="26" fillId="0" borderId="0" xfId="0" applyNumberFormat="1" applyFont="1"/>
    <xf numFmtId="0" fontId="27" fillId="0" borderId="0" xfId="0" applyFont="1"/>
    <xf numFmtId="0" fontId="23" fillId="0" borderId="0" xfId="0" applyFont="1" applyAlignment="1">
      <alignment horizontal="left"/>
    </xf>
    <xf numFmtId="0" fontId="26" fillId="18" borderId="0" xfId="0" applyFont="1" applyFill="1" applyAlignment="1">
      <alignment horizontal="left" vertical="center"/>
    </xf>
    <xf numFmtId="0" fontId="18" fillId="18" borderId="0" xfId="0" applyFont="1" applyFill="1" applyAlignment="1">
      <alignment horizontal="left" vertical="center"/>
    </xf>
    <xf numFmtId="168" fontId="26" fillId="18" borderId="0" xfId="0" applyNumberFormat="1" applyFont="1" applyFill="1" applyAlignment="1">
      <alignment horizontal="left" vertical="center"/>
    </xf>
    <xf numFmtId="169" fontId="18" fillId="0" borderId="0" xfId="0" applyNumberFormat="1" applyFont="1" applyAlignment="1">
      <alignment horizontal="left"/>
    </xf>
    <xf numFmtId="0" fontId="26" fillId="0" borderId="12" xfId="0" applyFont="1" applyBorder="1"/>
    <xf numFmtId="0" fontId="25" fillId="0" borderId="0" xfId="0" applyFont="1" applyAlignment="1">
      <alignment horizontal="left"/>
    </xf>
    <xf numFmtId="0" fontId="25" fillId="0" borderId="0" xfId="0" applyFont="1"/>
    <xf numFmtId="2" fontId="25" fillId="0" borderId="0" xfId="0" applyNumberFormat="1" applyFont="1"/>
    <xf numFmtId="167" fontId="25" fillId="0" borderId="0" xfId="0" applyNumberFormat="1" applyFont="1"/>
    <xf numFmtId="0" fontId="26" fillId="0" borderId="0" xfId="0" applyFont="1"/>
    <xf numFmtId="0" fontId="26" fillId="0" borderId="12" xfId="0" applyFont="1" applyBorder="1" applyAlignment="1">
      <alignment horizontal="left"/>
    </xf>
    <xf numFmtId="171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7" fontId="26" fillId="0" borderId="13" xfId="0" applyNumberFormat="1" applyFont="1" applyBorder="1"/>
    <xf numFmtId="0" fontId="18" fillId="18" borderId="0" xfId="0" applyFont="1" applyFill="1" applyAlignment="1">
      <alignment vertical="center"/>
    </xf>
    <xf numFmtId="167" fontId="18" fillId="0" borderId="0" xfId="0" applyNumberFormat="1" applyFont="1"/>
    <xf numFmtId="0" fontId="18" fillId="0" borderId="0" xfId="0" applyFont="1" applyAlignment="1">
      <alignment vertical="center" wrapText="1"/>
    </xf>
    <xf numFmtId="0" fontId="24" fillId="0" borderId="0" xfId="0" applyFont="1"/>
    <xf numFmtId="167" fontId="26" fillId="0" borderId="14" xfId="0" applyNumberFormat="1" applyFont="1" applyBorder="1"/>
    <xf numFmtId="0" fontId="23" fillId="0" borderId="15" xfId="0" applyFont="1" applyBorder="1" applyAlignment="1">
      <alignment horizontal="center" textRotation="90"/>
    </xf>
    <xf numFmtId="166" fontId="23" fillId="0" borderId="15" xfId="0" applyNumberFormat="1" applyFont="1" applyBorder="1" applyAlignment="1">
      <alignment horizontal="center" textRotation="90"/>
    </xf>
    <xf numFmtId="0" fontId="18" fillId="0" borderId="15" xfId="0" applyFont="1" applyBorder="1" applyAlignment="1">
      <alignment horizontal="center"/>
    </xf>
    <xf numFmtId="4" fontId="20" fillId="11" borderId="14" xfId="0" applyNumberFormat="1" applyFont="1" applyFill="1" applyBorder="1" applyAlignment="1">
      <alignment horizontal="center"/>
    </xf>
    <xf numFmtId="4" fontId="0" fillId="11" borderId="14" xfId="0" applyNumberFormat="1" applyFill="1" applyBorder="1"/>
    <xf numFmtId="4" fontId="20" fillId="11" borderId="11" xfId="0" applyNumberFormat="1" applyFont="1" applyFill="1" applyBorder="1" applyAlignment="1">
      <alignment horizontal="center"/>
    </xf>
    <xf numFmtId="4" fontId="0" fillId="11" borderId="11" xfId="0" applyNumberFormat="1" applyFill="1" applyBorder="1"/>
    <xf numFmtId="4" fontId="0" fillId="11" borderId="11" xfId="0" applyNumberFormat="1" applyFill="1" applyBorder="1" applyAlignment="1">
      <alignment horizontal="right"/>
    </xf>
    <xf numFmtId="4" fontId="0" fillId="11" borderId="11" xfId="0" applyNumberFormat="1" applyFill="1" applyBorder="1" applyAlignment="1">
      <alignment horizontal="center"/>
    </xf>
    <xf numFmtId="2" fontId="18" fillId="0" borderId="0" xfId="0" applyNumberFormat="1" applyFont="1"/>
    <xf numFmtId="2" fontId="18" fillId="0" borderId="0" xfId="0" applyNumberFormat="1" applyFont="1" applyAlignment="1">
      <alignment horizontal="center"/>
    </xf>
    <xf numFmtId="2" fontId="0" fillId="0" borderId="0" xfId="0" applyNumberFormat="1"/>
    <xf numFmtId="4" fontId="18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4" fillId="0" borderId="0" xfId="0" applyFont="1" applyAlignment="1">
      <alignment horizontal="left"/>
    </xf>
    <xf numFmtId="0" fontId="0" fillId="18" borderId="0" xfId="0" applyFill="1" applyAlignment="1">
      <alignment horizontal="left"/>
    </xf>
    <xf numFmtId="0" fontId="0" fillId="18" borderId="0" xfId="0" applyFill="1"/>
    <xf numFmtId="14" fontId="0" fillId="0" borderId="0" xfId="0" applyNumberFormat="1" applyAlignment="1">
      <alignment horizontal="left"/>
    </xf>
    <xf numFmtId="2" fontId="24" fillId="0" borderId="0" xfId="0" applyNumberFormat="1" applyFont="1" applyAlignment="1">
      <alignment horizontal="left"/>
    </xf>
    <xf numFmtId="0" fontId="24" fillId="18" borderId="0" xfId="0" applyFont="1" applyFill="1" applyAlignment="1">
      <alignment horizontal="left" vertical="center"/>
    </xf>
    <xf numFmtId="168" fontId="24" fillId="18" borderId="0" xfId="0" applyNumberFormat="1" applyFont="1" applyFill="1" applyAlignment="1">
      <alignment horizontal="left" vertical="center"/>
    </xf>
    <xf numFmtId="0" fontId="24" fillId="0" borderId="12" xfId="0" applyFont="1" applyBorder="1"/>
    <xf numFmtId="167" fontId="0" fillId="0" borderId="0" xfId="0" applyNumberFormat="1"/>
    <xf numFmtId="0" fontId="0" fillId="0" borderId="12" xfId="0" applyBorder="1"/>
    <xf numFmtId="167" fontId="24" fillId="0" borderId="12" xfId="0" applyNumberFormat="1" applyFont="1" applyBorder="1"/>
    <xf numFmtId="10" fontId="0" fillId="0" borderId="0" xfId="0" applyNumberFormat="1"/>
    <xf numFmtId="167" fontId="24" fillId="0" borderId="13" xfId="0" applyNumberFormat="1" applyFont="1" applyBorder="1"/>
    <xf numFmtId="170" fontId="0" fillId="0" borderId="0" xfId="0" applyNumberFormat="1"/>
    <xf numFmtId="172" fontId="0" fillId="0" borderId="0" xfId="0" applyNumberFormat="1"/>
    <xf numFmtId="0" fontId="24" fillId="0" borderId="12" xfId="0" applyFont="1" applyBorder="1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/>
    <xf numFmtId="173" fontId="0" fillId="0" borderId="0" xfId="0" applyNumberFormat="1"/>
    <xf numFmtId="174" fontId="0" fillId="0" borderId="0" xfId="0" applyNumberFormat="1"/>
    <xf numFmtId="0" fontId="0" fillId="0" borderId="0" xfId="0" quotePrefix="1" applyAlignment="1">
      <alignment horizontal="left"/>
    </xf>
    <xf numFmtId="175" fontId="0" fillId="0" borderId="0" xfId="0" applyNumberFormat="1"/>
    <xf numFmtId="4" fontId="24" fillId="0" borderId="0" xfId="0" applyNumberFormat="1" applyFont="1"/>
    <xf numFmtId="0" fontId="24" fillId="0" borderId="0" xfId="0" applyFont="1" applyAlignment="1">
      <alignment horizontal="right"/>
    </xf>
    <xf numFmtId="2" fontId="24" fillId="0" borderId="0" xfId="0" applyNumberFormat="1" applyFont="1"/>
    <xf numFmtId="10" fontId="24" fillId="0" borderId="0" xfId="0" applyNumberFormat="1" applyFont="1"/>
    <xf numFmtId="167" fontId="24" fillId="0" borderId="0" xfId="0" applyNumberFormat="1" applyFont="1"/>
    <xf numFmtId="165" fontId="20" fillId="6" borderId="0" xfId="0" quotePrefix="1" applyNumberFormat="1" applyFont="1" applyFill="1" applyAlignment="1">
      <alignment horizontal="left" vertical="center"/>
    </xf>
    <xf numFmtId="4" fontId="0" fillId="0" borderId="0" xfId="0" applyNumberFormat="1" applyAlignment="1">
      <alignment horizontal="left"/>
    </xf>
    <xf numFmtId="0" fontId="24" fillId="0" borderId="12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6" fillId="0" borderId="12" xfId="0" applyFont="1" applyBorder="1" applyAlignment="1">
      <alignment horizontal="center"/>
    </xf>
    <xf numFmtId="2" fontId="18" fillId="0" borderId="0" xfId="0" applyNumberFormat="1" applyFont="1" applyAlignment="1">
      <alignment horizontal="center" vertical="center" wrapText="1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" xfId="32" builtinId="10" customBuiltin="1"/>
    <cellStyle name="Notiz 2" xfId="33" xr:uid="{00000000-0005-0000-0000-000020000000}"/>
    <cellStyle name="Schlecht" xfId="34" builtinId="27" customBuiltin="1"/>
    <cellStyle name="Standard" xfId="0" builtinId="0"/>
    <cellStyle name="Standard 2" xfId="35" xr:uid="{00000000-0005-0000-0000-000023000000}"/>
    <cellStyle name="Überschrift" xfId="36" builtinId="15" customBuiltin="1"/>
    <cellStyle name="Überschrift 1" xfId="37" builtinId="16" customBuiltin="1"/>
    <cellStyle name="Überschrift 2" xfId="38" builtinId="17" customBuiltin="1"/>
    <cellStyle name="Überschrift 3" xfId="39" builtinId="18" customBuiltin="1"/>
    <cellStyle name="Überschrift 4" xfId="40" builtinId="19" customBuiltin="1"/>
    <cellStyle name="Verknüpfte Zelle" xfId="41" builtinId="24" customBuiltin="1"/>
    <cellStyle name="Währung 2" xfId="42" xr:uid="{00000000-0005-0000-0000-00002A000000}"/>
    <cellStyle name="Warnender Text" xfId="43" builtinId="11" customBuiltin="1"/>
    <cellStyle name="Zelle überprüfen" xfId="44" builtinId="23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2B2B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zoomScaleNormal="100" workbookViewId="0"/>
  </sheetViews>
  <sheetFormatPr baseColWidth="10" defaultColWidth="11.44140625" defaultRowHeight="13.8" x14ac:dyDescent="0.3"/>
  <cols>
    <col min="1" max="2" width="12.44140625" style="1" customWidth="1"/>
    <col min="3" max="5" width="9.44140625" style="1" customWidth="1"/>
    <col min="6" max="6" width="20" style="1" customWidth="1"/>
    <col min="7" max="7" width="5" style="1" customWidth="1"/>
    <col min="8" max="9" width="5.5546875" style="45" customWidth="1"/>
    <col min="10" max="10" width="5.33203125" style="45" customWidth="1"/>
    <col min="11" max="11" width="5.6640625" style="45" bestFit="1" customWidth="1"/>
    <col min="12" max="12" width="6.88671875" style="45" bestFit="1" customWidth="1"/>
    <col min="13" max="13" width="5.5546875" style="45" customWidth="1"/>
    <col min="14" max="14" width="6.44140625" style="45" bestFit="1" customWidth="1"/>
    <col min="15" max="16" width="5.44140625" style="45" bestFit="1" customWidth="1"/>
    <col min="17" max="19" width="5.5546875" style="45" customWidth="1"/>
    <col min="20" max="20" width="8.6640625" style="45" bestFit="1" customWidth="1"/>
    <col min="21" max="21" width="11.44140625" style="45"/>
    <col min="22" max="16384" width="11.44140625" style="1"/>
  </cols>
  <sheetData>
    <row r="1" spans="1:21" ht="30" customHeight="1" x14ac:dyDescent="0.45">
      <c r="A1" s="3" t="s">
        <v>0</v>
      </c>
      <c r="B1" s="78" t="s">
        <v>277</v>
      </c>
      <c r="C1" s="4">
        <v>2026</v>
      </c>
      <c r="D1" s="5" t="s">
        <v>1</v>
      </c>
      <c r="E1" s="6"/>
      <c r="F1" s="7">
        <v>46122</v>
      </c>
    </row>
    <row r="2" spans="1:21" s="2" customFormat="1" ht="77.400000000000006" thickBot="1" x14ac:dyDescent="0.35">
      <c r="A2" s="36" t="s">
        <v>2</v>
      </c>
      <c r="B2" s="36" t="s">
        <v>158</v>
      </c>
      <c r="C2" s="36" t="s">
        <v>195</v>
      </c>
      <c r="D2" s="37" t="s">
        <v>3</v>
      </c>
      <c r="E2" s="37" t="s">
        <v>4</v>
      </c>
      <c r="F2" s="36" t="s">
        <v>5</v>
      </c>
      <c r="G2" s="38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3" spans="1:21" ht="16.5" customHeight="1" x14ac:dyDescent="0.3">
      <c r="A3" s="8" t="s">
        <v>6</v>
      </c>
      <c r="B3" s="9" t="s">
        <v>7</v>
      </c>
      <c r="C3" s="39"/>
      <c r="D3" s="40"/>
      <c r="E3" s="40"/>
      <c r="F3" s="35">
        <f>BleR!G42</f>
        <v>0</v>
      </c>
      <c r="J3" s="47"/>
      <c r="K3" s="47"/>
      <c r="L3"/>
      <c r="M3" s="47"/>
      <c r="N3" s="47"/>
    </row>
    <row r="4" spans="1:21" ht="16.5" customHeight="1" x14ac:dyDescent="0.3">
      <c r="A4" s="8" t="s">
        <v>6</v>
      </c>
      <c r="B4" s="9" t="s">
        <v>237</v>
      </c>
      <c r="C4" s="39"/>
      <c r="D4" s="40"/>
      <c r="E4" s="40"/>
      <c r="F4" s="35">
        <f>BleD!G43</f>
        <v>0</v>
      </c>
      <c r="J4" s="47"/>
      <c r="K4" s="47"/>
      <c r="L4"/>
      <c r="M4" s="47"/>
      <c r="N4" s="47"/>
    </row>
    <row r="5" spans="1:21" ht="16.5" customHeight="1" x14ac:dyDescent="0.3">
      <c r="A5" s="8" t="s">
        <v>215</v>
      </c>
      <c r="B5" s="9" t="s">
        <v>216</v>
      </c>
      <c r="C5" s="39"/>
      <c r="D5" s="40"/>
      <c r="E5" s="40"/>
      <c r="F5" s="35">
        <f>BauR!G42</f>
        <v>0</v>
      </c>
      <c r="J5" s="47"/>
      <c r="K5" s="47"/>
      <c r="L5"/>
      <c r="M5" s="47"/>
      <c r="N5" s="47"/>
    </row>
    <row r="6" spans="1:21" ht="16.5" customHeight="1" x14ac:dyDescent="0.3">
      <c r="A6" s="8" t="s">
        <v>199</v>
      </c>
      <c r="B6" s="9" t="s">
        <v>200</v>
      </c>
      <c r="C6" s="39"/>
      <c r="D6" s="40"/>
      <c r="E6" s="40"/>
      <c r="F6" s="35">
        <f>BeiC!G44</f>
        <v>0</v>
      </c>
      <c r="J6" s="47"/>
      <c r="K6" s="47"/>
      <c r="L6"/>
      <c r="M6" s="47"/>
      <c r="N6" s="47"/>
    </row>
    <row r="7" spans="1:21" ht="16.5" customHeight="1" x14ac:dyDescent="0.3">
      <c r="A7" s="8" t="s">
        <v>169</v>
      </c>
      <c r="B7" s="9" t="s">
        <v>170</v>
      </c>
      <c r="C7" s="39"/>
      <c r="D7" s="40"/>
      <c r="E7" s="40"/>
      <c r="F7" s="35">
        <f>BirB!G42</f>
        <v>0</v>
      </c>
      <c r="J7" s="47"/>
      <c r="K7" s="47"/>
      <c r="L7"/>
      <c r="M7" s="47"/>
      <c r="N7" s="47"/>
    </row>
    <row r="8" spans="1:21" ht="16.5" customHeight="1" x14ac:dyDescent="0.3">
      <c r="A8" s="8" t="s">
        <v>169</v>
      </c>
      <c r="B8" s="9" t="s">
        <v>171</v>
      </c>
      <c r="C8" s="39"/>
      <c r="D8" s="40"/>
      <c r="E8" s="40"/>
      <c r="F8" s="35">
        <f>BirR!G42</f>
        <v>0</v>
      </c>
      <c r="J8" s="47"/>
      <c r="K8" s="47"/>
      <c r="L8"/>
      <c r="M8" s="47"/>
      <c r="N8" s="47"/>
    </row>
    <row r="9" spans="1:21" ht="16.5" customHeight="1" x14ac:dyDescent="0.3">
      <c r="A9" s="8" t="s">
        <v>8</v>
      </c>
      <c r="B9" s="9" t="s">
        <v>9</v>
      </c>
      <c r="C9" s="41"/>
      <c r="D9" s="42"/>
      <c r="E9" s="42"/>
      <c r="F9" s="11">
        <f>CamF!G42</f>
        <v>0</v>
      </c>
      <c r="I9" s="47"/>
      <c r="J9" s="47"/>
      <c r="K9" s="47"/>
      <c r="L9" s="47"/>
      <c r="M9" s="47"/>
      <c r="N9" s="47"/>
    </row>
    <row r="10" spans="1:21" ht="16.5" customHeight="1" x14ac:dyDescent="0.3">
      <c r="A10" s="8" t="s">
        <v>8</v>
      </c>
      <c r="B10" s="9" t="s">
        <v>161</v>
      </c>
      <c r="C10" s="41"/>
      <c r="D10" s="42"/>
      <c r="E10" s="42"/>
      <c r="F10" s="11">
        <f>'CamF Seminar'!G42</f>
        <v>0</v>
      </c>
      <c r="I10" s="47"/>
      <c r="J10" s="47"/>
      <c r="K10" s="47"/>
      <c r="L10" s="47"/>
      <c r="M10" s="47"/>
      <c r="N10" s="47"/>
    </row>
    <row r="11" spans="1:21" ht="16.5" customHeight="1" x14ac:dyDescent="0.3">
      <c r="A11" s="8" t="s">
        <v>208</v>
      </c>
      <c r="B11" s="9" t="s">
        <v>209</v>
      </c>
      <c r="C11" s="41"/>
      <c r="D11" s="42"/>
      <c r="E11" s="42"/>
      <c r="F11" s="11">
        <f>CorB!G42</f>
        <v>0</v>
      </c>
      <c r="I11" s="47"/>
      <c r="J11" s="47"/>
      <c r="K11" s="47"/>
      <c r="L11" s="47"/>
      <c r="M11" s="47"/>
      <c r="N11" s="47"/>
    </row>
    <row r="12" spans="1:21" ht="16.5" customHeight="1" x14ac:dyDescent="0.3">
      <c r="A12" s="8" t="s">
        <v>166</v>
      </c>
      <c r="B12" s="9" t="s">
        <v>9</v>
      </c>
      <c r="C12" s="41"/>
      <c r="D12" s="42"/>
      <c r="E12" s="42"/>
      <c r="F12" s="11">
        <f>CosF!G42</f>
        <v>0</v>
      </c>
      <c r="I12" s="47"/>
      <c r="J12" s="47"/>
      <c r="K12" s="47"/>
      <c r="L12" s="47"/>
      <c r="M12" s="47"/>
      <c r="N12" s="47"/>
    </row>
    <row r="13" spans="1:21" ht="16.5" customHeight="1" x14ac:dyDescent="0.3">
      <c r="A13" s="8" t="s">
        <v>10</v>
      </c>
      <c r="B13" s="9" t="s">
        <v>11</v>
      </c>
      <c r="C13" s="41"/>
      <c r="D13" s="42"/>
      <c r="E13" s="42"/>
      <c r="F13" s="11">
        <f>DizH!G42</f>
        <v>0</v>
      </c>
      <c r="H13" s="47"/>
      <c r="I13" s="47"/>
      <c r="J13" s="47"/>
      <c r="K13" s="47"/>
      <c r="L13" s="47"/>
      <c r="M13" s="47"/>
      <c r="N13" s="47"/>
    </row>
    <row r="14" spans="1:21" ht="16.5" customHeight="1" x14ac:dyDescent="0.3">
      <c r="A14" s="8" t="s">
        <v>12</v>
      </c>
      <c r="B14" s="9" t="s">
        <v>13</v>
      </c>
      <c r="C14" s="41"/>
      <c r="D14" s="42"/>
      <c r="E14" s="42"/>
      <c r="F14" s="11">
        <f>DuR!G43</f>
        <v>0</v>
      </c>
      <c r="H14" s="47"/>
      <c r="I14" s="47"/>
      <c r="J14" s="47"/>
      <c r="K14" s="47"/>
      <c r="L14" s="47"/>
      <c r="M14" s="47"/>
      <c r="N14" s="47"/>
    </row>
    <row r="15" spans="1:21" ht="16.5" customHeight="1" x14ac:dyDescent="0.3">
      <c r="A15" s="8" t="s">
        <v>14</v>
      </c>
      <c r="B15" s="9" t="s">
        <v>15</v>
      </c>
      <c r="C15" s="41"/>
      <c r="D15" s="42"/>
      <c r="E15" s="42"/>
      <c r="F15" s="11">
        <f>EgliA!G43</f>
        <v>0</v>
      </c>
      <c r="H15" s="47"/>
      <c r="J15" s="47"/>
      <c r="K15" s="47"/>
      <c r="L15" s="47"/>
      <c r="M15" s="47"/>
      <c r="N15" s="47"/>
    </row>
    <row r="16" spans="1:21" ht="16.5" customHeight="1" x14ac:dyDescent="0.3">
      <c r="A16" s="8" t="s">
        <v>14</v>
      </c>
      <c r="B16" s="9" t="s">
        <v>251</v>
      </c>
      <c r="C16" s="41"/>
      <c r="D16" s="42"/>
      <c r="E16" s="42"/>
      <c r="F16" s="11">
        <f>EgliB!G42</f>
        <v>0</v>
      </c>
      <c r="H16" s="47"/>
      <c r="J16" s="47"/>
      <c r="K16" s="47"/>
      <c r="L16" s="47"/>
      <c r="M16" s="47"/>
      <c r="N16" s="47"/>
    </row>
    <row r="17" spans="1:14" ht="16.5" customHeight="1" x14ac:dyDescent="0.3">
      <c r="A17" s="8" t="s">
        <v>245</v>
      </c>
      <c r="B17" s="9" t="s">
        <v>259</v>
      </c>
      <c r="C17" s="41"/>
      <c r="D17" s="42"/>
      <c r="E17" s="42"/>
      <c r="F17" s="11">
        <f>GabA!G43</f>
        <v>-410.45</v>
      </c>
      <c r="H17" s="47"/>
      <c r="J17" s="47"/>
      <c r="K17" s="47"/>
      <c r="L17" s="47"/>
      <c r="M17" s="47"/>
      <c r="N17" s="47"/>
    </row>
    <row r="18" spans="1:14" ht="16.5" customHeight="1" x14ac:dyDescent="0.3">
      <c r="A18" s="8" t="s">
        <v>245</v>
      </c>
      <c r="B18" s="9" t="s">
        <v>246</v>
      </c>
      <c r="C18" s="41"/>
      <c r="D18" s="42"/>
      <c r="E18" s="42"/>
      <c r="F18" s="11">
        <f>GabP!G42</f>
        <v>0</v>
      </c>
      <c r="H18" s="47"/>
      <c r="J18" s="47"/>
      <c r="K18" s="47"/>
      <c r="L18" s="47"/>
      <c r="M18" s="47"/>
      <c r="N18" s="47"/>
    </row>
    <row r="19" spans="1:14" ht="16.5" customHeight="1" x14ac:dyDescent="0.3">
      <c r="A19" s="8" t="s">
        <v>16</v>
      </c>
      <c r="B19" s="9" t="s">
        <v>17</v>
      </c>
      <c r="C19" s="41"/>
      <c r="D19" s="42"/>
      <c r="E19" s="42"/>
      <c r="F19" s="11">
        <f>GrBe!G42</f>
        <v>0</v>
      </c>
      <c r="H19" s="47"/>
      <c r="I19" s="47"/>
      <c r="J19" s="47"/>
      <c r="K19" s="47"/>
      <c r="L19" s="47"/>
      <c r="M19" s="47"/>
      <c r="N19" s="47"/>
    </row>
    <row r="20" spans="1:14" ht="16.5" customHeight="1" x14ac:dyDescent="0.3">
      <c r="A20" s="8" t="s">
        <v>179</v>
      </c>
      <c r="B20" s="9" t="s">
        <v>180</v>
      </c>
      <c r="C20" s="41"/>
      <c r="D20" s="42"/>
      <c r="E20" s="42"/>
      <c r="F20" s="11">
        <f>HieP!G42</f>
        <v>0</v>
      </c>
      <c r="H20" s="47"/>
      <c r="I20" s="47"/>
      <c r="J20" s="47"/>
      <c r="K20" s="47"/>
      <c r="L20" s="47"/>
      <c r="M20" s="47"/>
      <c r="N20" s="47"/>
    </row>
    <row r="21" spans="1:14" ht="16.5" customHeight="1" x14ac:dyDescent="0.3">
      <c r="A21" s="8" t="s">
        <v>193</v>
      </c>
      <c r="B21" s="9" t="s">
        <v>194</v>
      </c>
      <c r="C21" s="41"/>
      <c r="D21" s="42"/>
      <c r="E21" s="42"/>
      <c r="F21" s="11">
        <f>HugS!G43</f>
        <v>0</v>
      </c>
      <c r="H21" s="47"/>
      <c r="I21" s="47"/>
      <c r="J21" s="47"/>
      <c r="K21" s="47"/>
      <c r="L21" s="47"/>
      <c r="M21" s="47"/>
      <c r="N21" s="47"/>
    </row>
    <row r="22" spans="1:14" ht="16.5" customHeight="1" x14ac:dyDescent="0.3">
      <c r="A22" s="8" t="s">
        <v>19</v>
      </c>
      <c r="B22" s="9" t="s">
        <v>165</v>
      </c>
      <c r="C22" s="41"/>
      <c r="D22" s="42"/>
      <c r="E22" s="42"/>
      <c r="F22" s="11">
        <f>KäJ!G43</f>
        <v>0</v>
      </c>
      <c r="H22" s="47"/>
      <c r="I22" s="47"/>
      <c r="J22" s="47"/>
      <c r="K22" s="47"/>
      <c r="L22" s="47"/>
      <c r="M22" s="47"/>
      <c r="N22" s="47"/>
    </row>
    <row r="23" spans="1:14" ht="16.5" customHeight="1" x14ac:dyDescent="0.3">
      <c r="A23" s="8" t="s">
        <v>19</v>
      </c>
      <c r="B23" s="9" t="s">
        <v>20</v>
      </c>
      <c r="C23" s="41"/>
      <c r="D23" s="43"/>
      <c r="E23" s="44"/>
      <c r="F23" s="10">
        <f>KäY!G43</f>
        <v>0</v>
      </c>
      <c r="J23" s="47"/>
      <c r="K23" s="47"/>
      <c r="L23" s="47"/>
      <c r="M23" s="47"/>
      <c r="N23" s="47"/>
    </row>
    <row r="24" spans="1:14" ht="16.5" customHeight="1" x14ac:dyDescent="0.3">
      <c r="A24" s="8" t="s">
        <v>137</v>
      </c>
      <c r="B24" s="9" t="s">
        <v>138</v>
      </c>
      <c r="C24" s="41"/>
      <c r="D24" s="43"/>
      <c r="E24" s="43"/>
      <c r="F24" s="10">
        <f>KolM!G42</f>
        <v>0</v>
      </c>
      <c r="J24" s="47"/>
      <c r="K24" s="47"/>
      <c r="L24" s="47"/>
      <c r="M24" s="47"/>
      <c r="N24" s="47"/>
    </row>
    <row r="25" spans="1:14" ht="16.5" customHeight="1" x14ac:dyDescent="0.3">
      <c r="A25" s="8" t="s">
        <v>256</v>
      </c>
      <c r="B25" s="9" t="s">
        <v>138</v>
      </c>
      <c r="C25" s="41">
        <f>KolMSpesen!G40</f>
        <v>50</v>
      </c>
      <c r="D25" s="43">
        <v>3.25</v>
      </c>
      <c r="E25" s="43"/>
      <c r="F25" s="10">
        <f>KolMSpesen!G42</f>
        <v>150.05000000000001</v>
      </c>
      <c r="J25" s="47"/>
      <c r="K25" s="47"/>
      <c r="L25" s="47"/>
      <c r="M25" s="47"/>
      <c r="N25" s="47"/>
    </row>
    <row r="26" spans="1:14" ht="16.5" customHeight="1" x14ac:dyDescent="0.3">
      <c r="A26" s="8" t="s">
        <v>262</v>
      </c>
      <c r="B26" s="9" t="s">
        <v>263</v>
      </c>
      <c r="C26" s="41"/>
      <c r="D26" s="43"/>
      <c r="E26" s="43"/>
      <c r="F26" s="10">
        <f>KosI!G42</f>
        <v>0</v>
      </c>
      <c r="J26" s="47"/>
      <c r="K26" s="47"/>
      <c r="L26" s="47"/>
      <c r="M26" s="47"/>
      <c r="N26" s="47"/>
    </row>
    <row r="27" spans="1:14" ht="16.5" customHeight="1" x14ac:dyDescent="0.3">
      <c r="A27" s="8" t="s">
        <v>183</v>
      </c>
      <c r="B27" s="9" t="s">
        <v>184</v>
      </c>
      <c r="C27" s="41"/>
      <c r="D27" s="43"/>
      <c r="E27" s="43"/>
      <c r="F27" s="10">
        <f>LinS!G42</f>
        <v>0</v>
      </c>
      <c r="J27" s="47"/>
      <c r="K27" s="47"/>
      <c r="L27" s="47"/>
      <c r="M27" s="47"/>
      <c r="N27" s="47"/>
    </row>
    <row r="28" spans="1:14" ht="16.5" customHeight="1" x14ac:dyDescent="0.3">
      <c r="A28" s="8" t="s">
        <v>27</v>
      </c>
      <c r="B28" s="9" t="s">
        <v>28</v>
      </c>
      <c r="C28" s="41"/>
      <c r="D28" s="42"/>
      <c r="E28" s="42"/>
      <c r="F28" s="11">
        <f>LusWJ!G42</f>
        <v>0</v>
      </c>
      <c r="H28" s="47"/>
      <c r="I28" s="47"/>
      <c r="J28" s="47"/>
      <c r="K28" s="47"/>
      <c r="L28"/>
      <c r="M28" s="47"/>
      <c r="N28" s="47"/>
    </row>
    <row r="29" spans="1:14" ht="16.5" customHeight="1" x14ac:dyDescent="0.3">
      <c r="A29" s="8" t="s">
        <v>27</v>
      </c>
      <c r="B29" s="9" t="s">
        <v>29</v>
      </c>
      <c r="C29" s="41"/>
      <c r="D29" s="42"/>
      <c r="E29" s="42"/>
      <c r="F29" s="11">
        <f>LusWS!G42</f>
        <v>0</v>
      </c>
      <c r="J29" s="47"/>
      <c r="K29" s="47"/>
      <c r="L29" s="47"/>
      <c r="M29" s="47"/>
      <c r="N29" s="47"/>
    </row>
    <row r="30" spans="1:14" ht="16.5" customHeight="1" x14ac:dyDescent="0.3">
      <c r="A30" s="12" t="s">
        <v>274</v>
      </c>
      <c r="B30" s="9" t="s">
        <v>18</v>
      </c>
      <c r="C30" s="41"/>
      <c r="D30" s="42"/>
      <c r="E30" s="42"/>
      <c r="F30" s="11">
        <f>PegJ!G42</f>
        <v>0</v>
      </c>
      <c r="N30" s="47"/>
    </row>
    <row r="31" spans="1:14" ht="16.5" customHeight="1" x14ac:dyDescent="0.3">
      <c r="A31" s="12" t="s">
        <v>154</v>
      </c>
      <c r="B31" s="9" t="s">
        <v>213</v>
      </c>
      <c r="C31" s="41"/>
      <c r="D31" s="42"/>
      <c r="E31" s="42"/>
      <c r="F31" s="11">
        <f>PreG!G44</f>
        <v>-13</v>
      </c>
      <c r="N31" s="47"/>
    </row>
    <row r="32" spans="1:14" ht="16.5" customHeight="1" x14ac:dyDescent="0.3">
      <c r="A32" s="1" t="s">
        <v>154</v>
      </c>
      <c r="B32" s="13" t="s">
        <v>155</v>
      </c>
      <c r="C32" s="41"/>
      <c r="D32" s="42"/>
      <c r="E32" s="42"/>
      <c r="F32" s="11">
        <f>PreZ!G44</f>
        <v>0</v>
      </c>
      <c r="I32" s="47"/>
      <c r="J32" s="47"/>
      <c r="K32" s="47"/>
      <c r="L32"/>
      <c r="M32" s="47"/>
      <c r="N32" s="47"/>
    </row>
    <row r="33" spans="1:14" ht="16.5" customHeight="1" x14ac:dyDescent="0.3">
      <c r="A33" s="8" t="s">
        <v>21</v>
      </c>
      <c r="B33" s="9" t="s">
        <v>253</v>
      </c>
      <c r="C33" s="41"/>
      <c r="D33" s="42"/>
      <c r="E33" s="42"/>
      <c r="F33" s="11">
        <f>RocJ!G42</f>
        <v>0</v>
      </c>
      <c r="H33" s="47"/>
      <c r="N33" s="47"/>
    </row>
    <row r="34" spans="1:14" ht="16.5" customHeight="1" x14ac:dyDescent="0.3">
      <c r="A34" s="8" t="s">
        <v>21</v>
      </c>
      <c r="B34" s="9" t="s">
        <v>22</v>
      </c>
      <c r="C34" s="41"/>
      <c r="D34" s="42"/>
      <c r="E34" s="42"/>
      <c r="F34" s="11">
        <f>RocR!G42</f>
        <v>0</v>
      </c>
      <c r="H34" s="47"/>
      <c r="N34" s="47"/>
    </row>
    <row r="35" spans="1:14" ht="16.5" customHeight="1" x14ac:dyDescent="0.3">
      <c r="A35" s="8" t="s">
        <v>23</v>
      </c>
      <c r="B35" s="9" t="s">
        <v>24</v>
      </c>
      <c r="C35" s="41"/>
      <c r="D35" s="42"/>
      <c r="E35" s="42"/>
      <c r="F35" s="11">
        <f>SchA!G42</f>
        <v>0</v>
      </c>
      <c r="H35" s="47"/>
      <c r="I35" s="47"/>
      <c r="L35"/>
      <c r="N35" s="47"/>
    </row>
    <row r="36" spans="1:14" ht="16.5" customHeight="1" x14ac:dyDescent="0.3">
      <c r="A36" s="8" t="s">
        <v>25</v>
      </c>
      <c r="B36" s="9" t="s">
        <v>26</v>
      </c>
      <c r="C36" s="41"/>
      <c r="D36" s="42"/>
      <c r="E36" s="42"/>
      <c r="F36" s="11">
        <f>StaS!G43</f>
        <v>0</v>
      </c>
      <c r="H36" s="47"/>
      <c r="I36" s="47"/>
      <c r="L36"/>
      <c r="N36" s="47"/>
    </row>
    <row r="37" spans="1:14" ht="16.5" customHeight="1" x14ac:dyDescent="0.3">
      <c r="A37" s="8" t="s">
        <v>229</v>
      </c>
      <c r="B37" s="9" t="s">
        <v>230</v>
      </c>
      <c r="C37" s="41"/>
      <c r="D37" s="42"/>
      <c r="E37" s="42"/>
      <c r="F37" s="11">
        <f>StoN!G43</f>
        <v>-125.25</v>
      </c>
      <c r="H37" s="47"/>
      <c r="I37" s="47"/>
      <c r="L37"/>
      <c r="N37" s="47"/>
    </row>
    <row r="38" spans="1:14" ht="27.75" customHeight="1" x14ac:dyDescent="0.3">
      <c r="A38" s="1" t="s">
        <v>30</v>
      </c>
      <c r="D38" s="48"/>
      <c r="F38" s="14">
        <f>SUM(F3:F37)</f>
        <v>-398.65</v>
      </c>
    </row>
    <row r="40" spans="1:14" x14ac:dyDescent="0.3">
      <c r="D40" s="48"/>
    </row>
  </sheetData>
  <sheetProtection selectLockedCells="1" selectUnlockedCells="1"/>
  <phoneticPr fontId="0" type="noConversion"/>
  <pageMargins left="0.78740157480314965" right="0.78740157480314965" top="0" bottom="0" header="0.51181102362204722" footer="0.51181102362204722"/>
  <pageSetup paperSize="9" firstPageNumber="0" orientation="portrait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topLeftCell="A7"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7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79</v>
      </c>
    </row>
    <row r="9" spans="1:7" ht="15" customHeight="1" x14ac:dyDescent="0.25">
      <c r="B9" s="50"/>
      <c r="D9" t="s">
        <v>132</v>
      </c>
    </row>
    <row r="10" spans="1:7" ht="15" customHeight="1" x14ac:dyDescent="0.25">
      <c r="B10" s="50"/>
      <c r="D10" t="s">
        <v>63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120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22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'Std-Erf'!D3</f>
        <v>0</v>
      </c>
      <c r="F23" s="59">
        <v>27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'Std-Erf'!E3</f>
        <v>0</v>
      </c>
      <c r="D24" s="67" t="s">
        <v>116</v>
      </c>
      <c r="E24" s="47">
        <f>C24/10</f>
        <v>0</v>
      </c>
      <c r="F24" s="59">
        <v>27</v>
      </c>
      <c r="G24" s="59">
        <f t="shared" si="0"/>
        <v>0</v>
      </c>
    </row>
    <row r="25" spans="1:7" ht="14.25" customHeight="1" x14ac:dyDescent="0.25">
      <c r="A25" t="s">
        <v>47</v>
      </c>
      <c r="D25" s="67" t="s">
        <v>116</v>
      </c>
      <c r="E25" s="47">
        <f>E23</f>
        <v>0</v>
      </c>
      <c r="F25" s="59">
        <v>3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0.10639999999999999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5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'Std-Erf'!C3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honeticPr fontId="0" type="noConversion"/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CA8F-1F4C-4D3F-B0AB-471921654964}">
  <dimension ref="A1:G54"/>
  <sheetViews>
    <sheetView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7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60</v>
      </c>
    </row>
    <row r="8" spans="1:7" ht="15" customHeight="1" x14ac:dyDescent="0.25">
      <c r="B8" s="50"/>
      <c r="D8" t="s">
        <v>234</v>
      </c>
    </row>
    <row r="9" spans="1:7" ht="15" customHeight="1" x14ac:dyDescent="0.25">
      <c r="B9" s="50"/>
      <c r="D9" t="s">
        <v>235</v>
      </c>
    </row>
    <row r="10" spans="1:7" ht="15" customHeight="1" x14ac:dyDescent="0.25">
      <c r="B10" s="50"/>
      <c r="D10" t="s">
        <v>33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236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95</v>
      </c>
      <c r="D16" s="34" t="s">
        <v>96</v>
      </c>
      <c r="E16" s="51"/>
      <c r="F16" s="50" t="s">
        <v>111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99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0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'Std-Erf'!D4</f>
        <v>0</v>
      </c>
      <c r="F23" s="59">
        <v>50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/>
      <c r="D24" s="67"/>
      <c r="E24" s="47">
        <f>C24/10</f>
        <v>0</v>
      </c>
      <c r="F24" s="59">
        <v>0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v>0</v>
      </c>
      <c r="F25" s="59">
        <v>0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0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131</v>
      </c>
      <c r="F37" s="65"/>
      <c r="G37" s="59"/>
    </row>
    <row r="38" spans="1:7" ht="14.25" customHeight="1" x14ac:dyDescent="0.25">
      <c r="A38" t="s">
        <v>119</v>
      </c>
      <c r="E38" s="69"/>
      <c r="F38" s="59"/>
      <c r="G38" s="59">
        <f>PRODUCT(E38,F38)</f>
        <v>0</v>
      </c>
    </row>
    <row r="39" spans="1:7" s="34" customFormat="1" ht="14.25" customHeight="1" thickBot="1" x14ac:dyDescent="0.3">
      <c r="A39" s="58" t="s">
        <v>53</v>
      </c>
      <c r="B39" s="58"/>
      <c r="C39" s="58"/>
      <c r="D39" s="58"/>
      <c r="E39" s="58"/>
      <c r="F39" s="58"/>
      <c r="G39" s="63">
        <f>SUM(G32-(G34+G35+G36+G38+G37))</f>
        <v>0</v>
      </c>
    </row>
    <row r="40" spans="1:7" ht="6.75" customHeight="1" x14ac:dyDescent="0.25">
      <c r="E40" s="47"/>
      <c r="G40" s="59"/>
    </row>
    <row r="41" spans="1:7" ht="14.25" customHeight="1" x14ac:dyDescent="0.25">
      <c r="A41" t="s">
        <v>54</v>
      </c>
      <c r="G41" s="59">
        <f>'Std-Erf'!C4</f>
        <v>0</v>
      </c>
    </row>
    <row r="42" spans="1:7" ht="14.25" customHeight="1" x14ac:dyDescent="0.25">
      <c r="G42" s="59"/>
    </row>
    <row r="43" spans="1:7" s="34" customFormat="1" ht="24" customHeight="1" thickBot="1" x14ac:dyDescent="0.3">
      <c r="A43" s="58" t="s">
        <v>56</v>
      </c>
      <c r="B43" s="58"/>
      <c r="C43" s="58"/>
      <c r="D43" s="58"/>
      <c r="E43" s="58"/>
      <c r="F43" s="58"/>
      <c r="G43" s="63">
        <f>ROUND(SUM(G39:G41)*20,0)/20</f>
        <v>0</v>
      </c>
    </row>
    <row r="44" spans="1:7" ht="14.25" customHeight="1" x14ac:dyDescent="0.25"/>
    <row r="45" spans="1:7" ht="14.25" customHeight="1" x14ac:dyDescent="0.25"/>
    <row r="46" spans="1:7" ht="14.25" customHeight="1" x14ac:dyDescent="0.25">
      <c r="A46" t="s">
        <v>101</v>
      </c>
      <c r="B46" s="50">
        <v>0</v>
      </c>
      <c r="D46" t="s">
        <v>103</v>
      </c>
      <c r="F46" s="50">
        <v>0</v>
      </c>
    </row>
    <row r="47" spans="1:7" ht="14.25" customHeight="1" x14ac:dyDescent="0.25">
      <c r="A47" t="s">
        <v>102</v>
      </c>
      <c r="B47" s="50">
        <v>0</v>
      </c>
      <c r="D47" t="s">
        <v>109</v>
      </c>
      <c r="F47" s="50">
        <v>0</v>
      </c>
    </row>
    <row r="48" spans="1:7" ht="14.25" customHeight="1" x14ac:dyDescent="0.25"/>
    <row r="49" spans="1:4" ht="14.25" customHeight="1" x14ac:dyDescent="0.25">
      <c r="A49" t="s">
        <v>107</v>
      </c>
    </row>
    <row r="50" spans="1:4" ht="14.25" customHeight="1" x14ac:dyDescent="0.25">
      <c r="A50" t="s">
        <v>106</v>
      </c>
    </row>
    <row r="51" spans="1:4" ht="14.25" customHeight="1" x14ac:dyDescent="0.25"/>
    <row r="52" spans="1:4" ht="14.25" customHeight="1" x14ac:dyDescent="0.25">
      <c r="C52" t="s">
        <v>108</v>
      </c>
    </row>
    <row r="53" spans="1:4" ht="14.25" customHeight="1" x14ac:dyDescent="0.25"/>
    <row r="54" spans="1:4" ht="14.25" customHeight="1" x14ac:dyDescent="0.25">
      <c r="C54" s="34" t="s">
        <v>57</v>
      </c>
      <c r="D54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7E78-AFD8-4079-A311-5827C11E006C}">
  <dimension ref="A1:G53"/>
  <sheetViews>
    <sheetView topLeftCell="A5" zoomScaleNormal="100" workbookViewId="0">
      <selection activeCell="E29" sqref="E29"/>
    </sheetView>
  </sheetViews>
  <sheetFormatPr baseColWidth="10" defaultColWidth="11.44140625" defaultRowHeight="18" customHeight="1" x14ac:dyDescent="0.25"/>
  <cols>
    <col min="1" max="1" width="21.6640625" customWidth="1"/>
    <col min="2" max="2" width="15.33203125" customWidth="1"/>
    <col min="3" max="3" width="11.5546875" customWidth="1"/>
    <col min="4" max="4" width="9" customWidth="1"/>
    <col min="5" max="5" width="11" customWidth="1"/>
    <col min="6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67</v>
      </c>
    </row>
    <row r="8" spans="1:7" ht="15" customHeight="1" x14ac:dyDescent="0.25">
      <c r="B8" s="50"/>
      <c r="D8" t="s">
        <v>217</v>
      </c>
    </row>
    <row r="9" spans="1:7" ht="15" customHeight="1" x14ac:dyDescent="0.25">
      <c r="B9" s="50"/>
      <c r="D9" t="s">
        <v>218</v>
      </c>
    </row>
    <row r="10" spans="1:7" ht="15" customHeight="1" x14ac:dyDescent="0.25">
      <c r="B10" s="50"/>
      <c r="D10" t="s">
        <v>219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242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178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'Std-Erf'!D5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'Std-Erf'!E5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0.10639999999999999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'Std-Erf'!C5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3307086614173229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1FCF-D0EA-4F32-9EC3-8418D2E19F52}">
  <dimension ref="A1:G55"/>
  <sheetViews>
    <sheetView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7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67</v>
      </c>
    </row>
    <row r="8" spans="1:7" ht="15" customHeight="1" x14ac:dyDescent="0.25">
      <c r="B8" s="50"/>
      <c r="D8" t="s">
        <v>201</v>
      </c>
    </row>
    <row r="9" spans="1:7" ht="15" customHeight="1" x14ac:dyDescent="0.25">
      <c r="B9" s="50"/>
      <c r="D9" t="s">
        <v>202</v>
      </c>
    </row>
    <row r="10" spans="1:7" ht="15" customHeight="1" x14ac:dyDescent="0.25">
      <c r="B10" s="50"/>
      <c r="D10" t="s">
        <v>203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204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2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'Std-Erf'!D6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'Std-Erf'!E6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260</v>
      </c>
      <c r="F37" s="64">
        <v>3.5099999999999999E-2</v>
      </c>
      <c r="G37" s="59">
        <f>G32*F37</f>
        <v>0</v>
      </c>
    </row>
    <row r="38" spans="1:7" ht="14.25" customHeight="1" x14ac:dyDescent="0.25">
      <c r="A38" t="s">
        <v>261</v>
      </c>
      <c r="F38" s="64"/>
      <c r="G38" s="59">
        <v>0</v>
      </c>
    </row>
    <row r="39" spans="1:7" ht="14.25" customHeight="1" x14ac:dyDescent="0.25">
      <c r="A39" t="s">
        <v>119</v>
      </c>
      <c r="E39" s="69">
        <f>(E23+E24)*1.0833</f>
        <v>0</v>
      </c>
      <c r="F39" s="72">
        <v>1.4999999999999999E-2</v>
      </c>
      <c r="G39" s="59">
        <f>PRODUCT(E39,F39)</f>
        <v>0</v>
      </c>
    </row>
    <row r="40" spans="1:7" s="34" customFormat="1" ht="14.25" customHeight="1" thickBot="1" x14ac:dyDescent="0.3">
      <c r="A40" s="58" t="s">
        <v>53</v>
      </c>
      <c r="B40" s="58"/>
      <c r="C40" s="58"/>
      <c r="D40" s="58"/>
      <c r="E40" s="58"/>
      <c r="F40" s="58"/>
      <c r="G40" s="63">
        <f>SUM(G32-(G34+G35+G36+G37+G39+G38))</f>
        <v>0</v>
      </c>
    </row>
    <row r="41" spans="1:7" ht="6.75" customHeight="1" x14ac:dyDescent="0.25">
      <c r="E41" s="47"/>
      <c r="G41" s="59"/>
    </row>
    <row r="42" spans="1:7" ht="14.25" customHeight="1" x14ac:dyDescent="0.25">
      <c r="A42" t="s">
        <v>54</v>
      </c>
      <c r="G42" s="59">
        <f>'Std-Erf'!C6</f>
        <v>0</v>
      </c>
    </row>
    <row r="43" spans="1:7" ht="14.25" customHeight="1" x14ac:dyDescent="0.25">
      <c r="G43" s="59"/>
    </row>
    <row r="44" spans="1:7" s="34" customFormat="1" ht="24" customHeight="1" thickBot="1" x14ac:dyDescent="0.3">
      <c r="A44" s="58" t="s">
        <v>56</v>
      </c>
      <c r="B44" s="58"/>
      <c r="C44" s="58"/>
      <c r="D44" s="58"/>
      <c r="E44" s="58"/>
      <c r="F44" s="58"/>
      <c r="G44" s="63">
        <f>ROUND(SUM(G40:G42)*20,0)/20</f>
        <v>0</v>
      </c>
    </row>
    <row r="45" spans="1:7" ht="14.25" customHeight="1" x14ac:dyDescent="0.25"/>
    <row r="46" spans="1:7" ht="14.25" customHeight="1" x14ac:dyDescent="0.25"/>
    <row r="47" spans="1:7" ht="14.25" customHeight="1" x14ac:dyDescent="0.25">
      <c r="A47" t="s">
        <v>101</v>
      </c>
      <c r="B47" s="50">
        <v>0</v>
      </c>
      <c r="D47" t="s">
        <v>103</v>
      </c>
      <c r="F47" s="50">
        <v>0</v>
      </c>
    </row>
    <row r="48" spans="1:7" ht="14.25" customHeight="1" x14ac:dyDescent="0.25">
      <c r="A48" t="s">
        <v>102</v>
      </c>
      <c r="B48" s="50">
        <v>0</v>
      </c>
      <c r="D48" t="s">
        <v>109</v>
      </c>
      <c r="F48" s="50">
        <v>0</v>
      </c>
    </row>
    <row r="49" spans="1:4" ht="14.25" customHeight="1" x14ac:dyDescent="0.25"/>
    <row r="50" spans="1:4" ht="14.25" customHeight="1" x14ac:dyDescent="0.25">
      <c r="A50" t="s">
        <v>107</v>
      </c>
    </row>
    <row r="51" spans="1:4" ht="14.25" customHeight="1" x14ac:dyDescent="0.25">
      <c r="A51" t="s">
        <v>106</v>
      </c>
    </row>
    <row r="52" spans="1:4" ht="14.25" customHeight="1" x14ac:dyDescent="0.25"/>
    <row r="53" spans="1:4" ht="14.25" customHeight="1" x14ac:dyDescent="0.25">
      <c r="C53" t="s">
        <v>108</v>
      </c>
    </row>
    <row r="54" spans="1:4" ht="14.25" customHeight="1" x14ac:dyDescent="0.25"/>
    <row r="55" spans="1:4" ht="14.25" customHeight="1" x14ac:dyDescent="0.25">
      <c r="C55" s="34" t="s">
        <v>57</v>
      </c>
      <c r="D55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3"/>
  <sheetViews>
    <sheetView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4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67</v>
      </c>
    </row>
    <row r="8" spans="1:7" ht="15" customHeight="1" x14ac:dyDescent="0.25">
      <c r="B8" s="50"/>
      <c r="D8" t="s">
        <v>172</v>
      </c>
    </row>
    <row r="9" spans="1:7" ht="15" customHeight="1" x14ac:dyDescent="0.25">
      <c r="B9" s="50"/>
      <c r="D9" t="s">
        <v>173</v>
      </c>
    </row>
    <row r="10" spans="1:7" ht="15" customHeight="1" x14ac:dyDescent="0.25">
      <c r="B10" s="50"/>
      <c r="D10" t="s">
        <v>174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175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178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3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'Std-Erf'!D7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'Std-Erf'!E7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f>E23</f>
        <v>0</v>
      </c>
      <c r="F25" s="59">
        <v>2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0.10639999999999999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'Std-Erf'!C7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39370078740157483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3"/>
  <sheetViews>
    <sheetView topLeftCell="A8"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3.554687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67</v>
      </c>
    </row>
    <row r="8" spans="1:7" ht="15" customHeight="1" x14ac:dyDescent="0.25">
      <c r="B8" s="50"/>
      <c r="D8" t="s">
        <v>176</v>
      </c>
    </row>
    <row r="9" spans="1:7" ht="15" customHeight="1" x14ac:dyDescent="0.25">
      <c r="B9" s="50"/>
      <c r="D9" t="s">
        <v>173</v>
      </c>
    </row>
    <row r="10" spans="1:7" ht="15" customHeight="1" x14ac:dyDescent="0.25">
      <c r="B10" s="50"/>
      <c r="D10" t="s">
        <v>174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177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178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3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'Std-Erf'!D8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'Std-Erf'!E8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'Std-Erf'!C8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3"/>
  <sheetViews>
    <sheetView topLeftCell="A5" zoomScaleNormal="100" workbookViewId="0">
      <selection activeCell="F20" sqref="F20"/>
    </sheetView>
  </sheetViews>
  <sheetFormatPr baseColWidth="10" defaultColWidth="11.44140625" defaultRowHeight="18" customHeight="1" x14ac:dyDescent="0.25"/>
  <cols>
    <col min="1" max="1" width="21.6640625" customWidth="1"/>
    <col min="2" max="2" width="17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80</v>
      </c>
    </row>
    <row r="9" spans="1:7" ht="15" customHeight="1" x14ac:dyDescent="0.25">
      <c r="B9" s="50"/>
      <c r="D9" t="s">
        <v>198</v>
      </c>
    </row>
    <row r="10" spans="1:7" ht="15" customHeight="1" x14ac:dyDescent="0.25">
      <c r="B10" s="50"/>
      <c r="D10" t="s">
        <v>78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121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10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'Std-Erf'!D9</f>
        <v>0</v>
      </c>
      <c r="F23" s="59">
        <v>27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'Std-Erf'!E9</f>
        <v>0</v>
      </c>
      <c r="D24" s="67" t="s">
        <v>116</v>
      </c>
      <c r="E24" s="47">
        <f>C24/10</f>
        <v>0</v>
      </c>
      <c r="F24" s="59">
        <v>27</v>
      </c>
      <c r="G24" s="59">
        <f t="shared" si="0"/>
        <v>0</v>
      </c>
    </row>
    <row r="25" spans="1:7" ht="14.25" customHeight="1" x14ac:dyDescent="0.25">
      <c r="A25" t="s">
        <v>47</v>
      </c>
      <c r="D25" s="67" t="s">
        <v>116</v>
      </c>
      <c r="E25" s="47">
        <f>E23</f>
        <v>0</v>
      </c>
      <c r="F25" s="59">
        <v>3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5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'Std-Erf'!C9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horizontalDpi="4294967295" verticalDpi="4294967295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3"/>
  <sheetViews>
    <sheetView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7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80</v>
      </c>
    </row>
    <row r="9" spans="1:7" ht="15" customHeight="1" x14ac:dyDescent="0.25">
      <c r="B9" s="50"/>
      <c r="D9" t="s">
        <v>198</v>
      </c>
    </row>
    <row r="10" spans="1:7" ht="15" customHeight="1" x14ac:dyDescent="0.25">
      <c r="B10" s="50"/>
      <c r="D10" t="s">
        <v>78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121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160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9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'Std-Erf'!D10</f>
        <v>0</v>
      </c>
      <c r="F23" s="59">
        <v>62.5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/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 t="s">
        <v>116</v>
      </c>
      <c r="E25" s="47">
        <v>0</v>
      </c>
      <c r="F25" s="59">
        <v>3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0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5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'Std-Erf'!C10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horizontalDpi="4294967295" verticalDpi="4294967295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822A-3B42-4D52-9D20-3F3A82331D9E}">
  <dimension ref="A1:G53"/>
  <sheetViews>
    <sheetView topLeftCell="A7"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7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67</v>
      </c>
    </row>
    <row r="8" spans="1:7" ht="15" customHeight="1" x14ac:dyDescent="0.25">
      <c r="B8" s="50"/>
      <c r="D8" t="s">
        <v>205</v>
      </c>
    </row>
    <row r="9" spans="1:7" ht="15" customHeight="1" x14ac:dyDescent="0.25">
      <c r="B9" s="50"/>
      <c r="D9" t="s">
        <v>206</v>
      </c>
    </row>
    <row r="10" spans="1:7" ht="15" customHeight="1" x14ac:dyDescent="0.25">
      <c r="B10" s="50"/>
      <c r="D10" t="s">
        <v>68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207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2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'Std-Erf'!D11</f>
        <v>0</v>
      </c>
      <c r="F23" s="59">
        <v>27.2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'Std-Erf'!E11</f>
        <v>0</v>
      </c>
      <c r="D24" s="67" t="s">
        <v>116</v>
      </c>
      <c r="E24" s="47">
        <f>C24/10</f>
        <v>0</v>
      </c>
      <c r="F24" s="59">
        <v>27.2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'Std-Erf'!C11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3.554687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67</v>
      </c>
    </row>
    <row r="8" spans="1:7" ht="15" customHeight="1" x14ac:dyDescent="0.25">
      <c r="B8" s="50"/>
      <c r="D8" t="s">
        <v>167</v>
      </c>
    </row>
    <row r="9" spans="1:7" ht="15" customHeight="1" x14ac:dyDescent="0.25">
      <c r="B9" s="50"/>
      <c r="D9" t="s">
        <v>220</v>
      </c>
    </row>
    <row r="10" spans="1:7" ht="15" customHeight="1" x14ac:dyDescent="0.25">
      <c r="B10" s="50"/>
      <c r="D10" t="s">
        <v>33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168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3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'Std-Erf'!D12</f>
        <v>0</v>
      </c>
      <c r="F23" s="59">
        <v>27.2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'Std-Erf'!E12</f>
        <v>0</v>
      </c>
      <c r="D24" s="67" t="s">
        <v>116</v>
      </c>
      <c r="E24" s="47">
        <f>C24/10</f>
        <v>0</v>
      </c>
      <c r="F24" s="59">
        <v>27.2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'Std-Erf'!C12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3"/>
  <sheetViews>
    <sheetView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3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81</v>
      </c>
    </row>
    <row r="9" spans="1:7" ht="15" customHeight="1" x14ac:dyDescent="0.25">
      <c r="B9" s="50"/>
      <c r="D9" t="s">
        <v>238</v>
      </c>
    </row>
    <row r="10" spans="1:7" ht="15" customHeight="1" x14ac:dyDescent="0.25">
      <c r="B10" s="50"/>
      <c r="D10" t="s">
        <v>239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122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11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'Std-Erf'!D13</f>
        <v>0</v>
      </c>
      <c r="F23" s="59">
        <v>30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'Std-Erf'!E13</f>
        <v>0</v>
      </c>
      <c r="D24" s="67" t="s">
        <v>116</v>
      </c>
      <c r="E24" s="47">
        <f>C24/10</f>
        <v>0</v>
      </c>
      <c r="F24" s="59">
        <v>30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'Std-Erf'!C13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4"/>
  <sheetViews>
    <sheetView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3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58</v>
      </c>
    </row>
    <row r="9" spans="1:7" ht="15" customHeight="1" x14ac:dyDescent="0.25">
      <c r="B9" s="50"/>
      <c r="D9" t="s">
        <v>59</v>
      </c>
    </row>
    <row r="10" spans="1:7" ht="15" customHeight="1" x14ac:dyDescent="0.25">
      <c r="B10" s="50"/>
      <c r="D10" t="s">
        <v>78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123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18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'Std-Erf'!D14</f>
        <v>0</v>
      </c>
      <c r="F23" s="59">
        <v>27.2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'Std-Erf'!E14</f>
        <v>0</v>
      </c>
      <c r="D24" s="67" t="s">
        <v>116</v>
      </c>
      <c r="E24" s="47">
        <f>C24/10</f>
        <v>0</v>
      </c>
      <c r="F24" s="59">
        <v>27.2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0.10639999999999999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0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0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4" customHeight="1" x14ac:dyDescent="0.25">
      <c r="A40" t="s">
        <v>162</v>
      </c>
      <c r="E40" s="47"/>
      <c r="G40" s="59">
        <v>0</v>
      </c>
    </row>
    <row r="41" spans="1:7" ht="14.25" customHeight="1" x14ac:dyDescent="0.25">
      <c r="A41" t="s">
        <v>54</v>
      </c>
      <c r="G41" s="59">
        <f>'Std-Erf'!C14</f>
        <v>0</v>
      </c>
    </row>
    <row r="42" spans="1:7" ht="14.25" customHeight="1" x14ac:dyDescent="0.25">
      <c r="G42" s="59"/>
    </row>
    <row r="43" spans="1:7" s="34" customFormat="1" ht="24" customHeight="1" thickBot="1" x14ac:dyDescent="0.3">
      <c r="A43" s="58" t="s">
        <v>56</v>
      </c>
      <c r="B43" s="58"/>
      <c r="C43" s="58"/>
      <c r="D43" s="58"/>
      <c r="E43" s="58"/>
      <c r="F43" s="58"/>
      <c r="G43" s="63">
        <f>ROUND(SUM(G38:G41)*20,0)/20</f>
        <v>0</v>
      </c>
    </row>
    <row r="44" spans="1:7" ht="14.25" customHeight="1" x14ac:dyDescent="0.25"/>
    <row r="45" spans="1:7" ht="14.25" customHeight="1" x14ac:dyDescent="0.25"/>
    <row r="46" spans="1:7" ht="14.25" customHeight="1" x14ac:dyDescent="0.25">
      <c r="A46" t="s">
        <v>101</v>
      </c>
      <c r="B46" s="50">
        <v>0</v>
      </c>
      <c r="D46" t="s">
        <v>103</v>
      </c>
      <c r="F46" s="50">
        <v>0</v>
      </c>
    </row>
    <row r="47" spans="1:7" ht="14.25" customHeight="1" x14ac:dyDescent="0.25">
      <c r="A47" t="s">
        <v>102</v>
      </c>
      <c r="B47" s="50">
        <v>0</v>
      </c>
      <c r="D47" t="s">
        <v>109</v>
      </c>
      <c r="F47" s="50">
        <v>0</v>
      </c>
    </row>
    <row r="48" spans="1:7" ht="14.25" customHeight="1" x14ac:dyDescent="0.25"/>
    <row r="49" spans="1:4" ht="14.25" customHeight="1" x14ac:dyDescent="0.25">
      <c r="A49" t="s">
        <v>107</v>
      </c>
    </row>
    <row r="50" spans="1:4" ht="14.25" customHeight="1" x14ac:dyDescent="0.25">
      <c r="A50" t="s">
        <v>106</v>
      </c>
    </row>
    <row r="51" spans="1:4" ht="14.25" customHeight="1" x14ac:dyDescent="0.25"/>
    <row r="52" spans="1:4" ht="14.25" customHeight="1" x14ac:dyDescent="0.25">
      <c r="C52" t="s">
        <v>108</v>
      </c>
    </row>
    <row r="53" spans="1:4" ht="14.25" customHeight="1" x14ac:dyDescent="0.25"/>
    <row r="54" spans="1:4" ht="14.25" customHeight="1" x14ac:dyDescent="0.25">
      <c r="C54" s="34" t="s">
        <v>57</v>
      </c>
      <c r="D54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4"/>
  <sheetViews>
    <sheetView topLeftCell="A7"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3.554687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60</v>
      </c>
    </row>
    <row r="8" spans="1:7" ht="15" customHeight="1" x14ac:dyDescent="0.25">
      <c r="B8" s="50"/>
      <c r="D8" t="s">
        <v>82</v>
      </c>
    </row>
    <row r="9" spans="1:7" ht="15" customHeight="1" x14ac:dyDescent="0.25">
      <c r="B9" s="50"/>
      <c r="D9" t="s">
        <v>61</v>
      </c>
    </row>
    <row r="10" spans="1:7" ht="15" customHeight="1" x14ac:dyDescent="0.25">
      <c r="B10" s="50"/>
      <c r="D10" t="s">
        <v>62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124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11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'Std-Erf'!D15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'Std-Erf'!E15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f>E23</f>
        <v>0</v>
      </c>
      <c r="F25" s="59">
        <v>1.5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0.10639999999999999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G40" s="59"/>
    </row>
    <row r="41" spans="1:7" ht="14.25" customHeight="1" x14ac:dyDescent="0.25">
      <c r="A41" t="s">
        <v>54</v>
      </c>
      <c r="D41" s="67"/>
      <c r="F41" s="70"/>
      <c r="G41" s="59">
        <f>'Std-Erf'!C15</f>
        <v>0</v>
      </c>
    </row>
    <row r="42" spans="1:7" ht="14.25" customHeight="1" x14ac:dyDescent="0.25">
      <c r="G42" s="59"/>
    </row>
    <row r="43" spans="1:7" s="34" customFormat="1" ht="24" customHeight="1" thickBot="1" x14ac:dyDescent="0.3">
      <c r="A43" s="58" t="s">
        <v>56</v>
      </c>
      <c r="B43" s="58"/>
      <c r="C43" s="58"/>
      <c r="D43" s="58"/>
      <c r="E43" s="58"/>
      <c r="F43" s="58"/>
      <c r="G43" s="63">
        <f>ROUND(SUM(G38:G41)*20,0)/20</f>
        <v>0</v>
      </c>
    </row>
    <row r="44" spans="1:7" ht="14.25" customHeight="1" x14ac:dyDescent="0.25"/>
    <row r="45" spans="1:7" ht="14.25" customHeight="1" x14ac:dyDescent="0.25"/>
    <row r="46" spans="1:7" ht="14.25" customHeight="1" x14ac:dyDescent="0.25">
      <c r="A46" t="s">
        <v>101</v>
      </c>
      <c r="B46" s="50">
        <v>0</v>
      </c>
      <c r="D46" t="s">
        <v>103</v>
      </c>
      <c r="F46" s="50">
        <v>0</v>
      </c>
    </row>
    <row r="47" spans="1:7" ht="14.25" customHeight="1" x14ac:dyDescent="0.25">
      <c r="A47" t="s">
        <v>102</v>
      </c>
      <c r="B47" s="50">
        <v>0</v>
      </c>
      <c r="D47" t="s">
        <v>109</v>
      </c>
      <c r="F47" s="50">
        <v>0</v>
      </c>
    </row>
    <row r="48" spans="1:7" ht="14.25" customHeight="1" x14ac:dyDescent="0.25"/>
    <row r="49" spans="1:4" ht="14.25" customHeight="1" x14ac:dyDescent="0.25">
      <c r="A49" t="s">
        <v>107</v>
      </c>
    </row>
    <row r="50" spans="1:4" ht="14.25" customHeight="1" x14ac:dyDescent="0.25">
      <c r="A50" t="s">
        <v>106</v>
      </c>
    </row>
    <row r="51" spans="1:4" ht="14.25" customHeight="1" x14ac:dyDescent="0.25"/>
    <row r="52" spans="1:4" ht="14.25" customHeight="1" x14ac:dyDescent="0.25">
      <c r="C52" t="s">
        <v>108</v>
      </c>
    </row>
    <row r="53" spans="1:4" ht="14.25" customHeight="1" x14ac:dyDescent="0.25"/>
    <row r="54" spans="1:4" ht="14.25" customHeight="1" x14ac:dyDescent="0.25">
      <c r="C54" s="34" t="s">
        <v>57</v>
      </c>
      <c r="D54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6139-8C0F-4D1A-A778-667113153DBC}">
  <dimension ref="A1:G53"/>
  <sheetViews>
    <sheetView zoomScaleNormal="100" workbookViewId="0">
      <selection activeCell="F20" sqref="F20"/>
    </sheetView>
  </sheetViews>
  <sheetFormatPr baseColWidth="10" defaultColWidth="11.44140625" defaultRowHeight="18" customHeight="1" x14ac:dyDescent="0.25"/>
  <cols>
    <col min="1" max="1" width="21.6640625" customWidth="1"/>
    <col min="2" max="2" width="14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60</v>
      </c>
    </row>
    <row r="8" spans="1:7" ht="15" customHeight="1" x14ac:dyDescent="0.25">
      <c r="B8" s="50"/>
      <c r="D8" t="s">
        <v>247</v>
      </c>
    </row>
    <row r="9" spans="1:7" ht="15" customHeight="1" x14ac:dyDescent="0.25">
      <c r="B9" s="50"/>
      <c r="D9" t="s">
        <v>248</v>
      </c>
    </row>
    <row r="10" spans="1:7" ht="15" customHeight="1" x14ac:dyDescent="0.25">
      <c r="B10" s="50"/>
      <c r="D10" t="s">
        <v>249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250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C23" s="68"/>
      <c r="D23" s="67" t="s">
        <v>116</v>
      </c>
      <c r="E23" s="47">
        <f>'Std-Erf'!D16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'Std-Erf'!E16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v>0</v>
      </c>
      <c r="F25" s="59">
        <v>0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'Std-Erf'!C16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4720-FFD0-4239-9954-E1E511003270}">
  <dimension ref="A1:G54"/>
  <sheetViews>
    <sheetView zoomScaleNormal="100" workbookViewId="0">
      <selection activeCell="E29" sqref="E29"/>
    </sheetView>
  </sheetViews>
  <sheetFormatPr baseColWidth="10" defaultColWidth="11.44140625" defaultRowHeight="18" customHeight="1" x14ac:dyDescent="0.25"/>
  <cols>
    <col min="1" max="1" width="21.6640625" customWidth="1"/>
    <col min="2" max="2" width="15.33203125" customWidth="1"/>
    <col min="3" max="3" width="11.5546875" customWidth="1"/>
    <col min="4" max="4" width="9" customWidth="1"/>
    <col min="5" max="5" width="11" customWidth="1"/>
    <col min="6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67</v>
      </c>
    </row>
    <row r="8" spans="1:7" ht="15" customHeight="1" x14ac:dyDescent="0.25">
      <c r="B8" s="50"/>
      <c r="D8" t="s">
        <v>257</v>
      </c>
    </row>
    <row r="9" spans="1:7" ht="15" customHeight="1" x14ac:dyDescent="0.25">
      <c r="B9" s="50"/>
      <c r="D9" t="s">
        <v>244</v>
      </c>
    </row>
    <row r="10" spans="1:7" ht="15" customHeight="1" x14ac:dyDescent="0.25">
      <c r="B10" s="50"/>
      <c r="D10" t="s">
        <v>63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258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0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'Std-Erf'!D17</f>
        <v>0</v>
      </c>
      <c r="F23" s="59">
        <v>27.2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'Std-Erf'!E17</f>
        <v>0</v>
      </c>
      <c r="D24" s="67" t="s">
        <v>116</v>
      </c>
      <c r="E24" s="47">
        <f>C24/10</f>
        <v>0</v>
      </c>
      <c r="F24" s="59">
        <v>27.2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0.10639999999999999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131</v>
      </c>
      <c r="F37" s="65"/>
      <c r="G37" s="59">
        <v>410.45</v>
      </c>
    </row>
    <row r="38" spans="1:7" ht="14.25" customHeight="1" x14ac:dyDescent="0.25">
      <c r="A38" t="s">
        <v>119</v>
      </c>
      <c r="E38" s="69">
        <f>(E23+E24)*1.0833</f>
        <v>0</v>
      </c>
      <c r="F38" s="72">
        <v>1.4999999999999999E-2</v>
      </c>
      <c r="G38" s="59">
        <f>PRODUCT(E38,F38)</f>
        <v>0</v>
      </c>
    </row>
    <row r="39" spans="1:7" s="34" customFormat="1" ht="14.25" customHeight="1" thickBot="1" x14ac:dyDescent="0.3">
      <c r="A39" s="58" t="s">
        <v>53</v>
      </c>
      <c r="B39" s="58"/>
      <c r="C39" s="58"/>
      <c r="D39" s="58"/>
      <c r="E39" s="58"/>
      <c r="F39" s="58"/>
      <c r="G39" s="63">
        <f>SUM(G32-(G34+G35+G36+G38+G37))</f>
        <v>-410.45</v>
      </c>
    </row>
    <row r="40" spans="1:7" ht="6.75" customHeight="1" x14ac:dyDescent="0.25">
      <c r="E40" s="47"/>
      <c r="G40" s="59"/>
    </row>
    <row r="41" spans="1:7" ht="14.25" customHeight="1" x14ac:dyDescent="0.25">
      <c r="A41" t="s">
        <v>54</v>
      </c>
      <c r="G41" s="59">
        <f>'Std-Erf'!C17</f>
        <v>0</v>
      </c>
    </row>
    <row r="42" spans="1:7" ht="14.25" customHeight="1" x14ac:dyDescent="0.25">
      <c r="G42" s="59"/>
    </row>
    <row r="43" spans="1:7" s="34" customFormat="1" ht="24" customHeight="1" thickBot="1" x14ac:dyDescent="0.3">
      <c r="A43" s="58" t="s">
        <v>56</v>
      </c>
      <c r="B43" s="58"/>
      <c r="C43" s="58"/>
      <c r="D43" s="58"/>
      <c r="E43" s="58"/>
      <c r="F43" s="58"/>
      <c r="G43" s="63">
        <f>ROUND(SUM(G39:G41)*20,0)/20</f>
        <v>-410.45</v>
      </c>
    </row>
    <row r="44" spans="1:7" ht="14.25" customHeight="1" x14ac:dyDescent="0.25"/>
    <row r="45" spans="1:7" ht="14.25" customHeight="1" x14ac:dyDescent="0.25"/>
    <row r="46" spans="1:7" ht="14.25" customHeight="1" x14ac:dyDescent="0.25">
      <c r="A46" t="s">
        <v>101</v>
      </c>
      <c r="B46" s="50">
        <v>0</v>
      </c>
      <c r="D46" t="s">
        <v>103</v>
      </c>
      <c r="F46" s="50">
        <v>0</v>
      </c>
    </row>
    <row r="47" spans="1:7" ht="14.25" customHeight="1" x14ac:dyDescent="0.25">
      <c r="A47" t="s">
        <v>102</v>
      </c>
      <c r="B47" s="50">
        <v>0</v>
      </c>
      <c r="D47" t="s">
        <v>109</v>
      </c>
      <c r="F47" s="50">
        <v>0</v>
      </c>
    </row>
    <row r="48" spans="1:7" ht="14.25" customHeight="1" x14ac:dyDescent="0.25"/>
    <row r="49" spans="1:4" ht="14.25" customHeight="1" x14ac:dyDescent="0.25">
      <c r="A49" t="s">
        <v>107</v>
      </c>
    </row>
    <row r="50" spans="1:4" ht="14.25" customHeight="1" x14ac:dyDescent="0.25">
      <c r="A50" t="s">
        <v>106</v>
      </c>
    </row>
    <row r="51" spans="1:4" ht="14.25" customHeight="1" x14ac:dyDescent="0.25"/>
    <row r="52" spans="1:4" ht="14.25" customHeight="1" x14ac:dyDescent="0.25">
      <c r="C52" t="s">
        <v>108</v>
      </c>
    </row>
    <row r="53" spans="1:4" ht="14.25" customHeight="1" x14ac:dyDescent="0.25"/>
    <row r="54" spans="1:4" ht="14.25" customHeight="1" x14ac:dyDescent="0.25">
      <c r="C54" s="34" t="s">
        <v>57</v>
      </c>
      <c r="D54" s="34"/>
    </row>
  </sheetData>
  <sheetProtection selectLockedCells="1" selectUnlockedCells="1"/>
  <mergeCells count="1">
    <mergeCell ref="A21:C21"/>
  </mergeCells>
  <pageMargins left="0.43307086614173229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B156-C549-4E11-B015-90C9F37AF914}">
  <dimension ref="A1:G53"/>
  <sheetViews>
    <sheetView topLeftCell="A4" zoomScaleNormal="100" workbookViewId="0">
      <selection activeCell="E29" sqref="E29"/>
    </sheetView>
  </sheetViews>
  <sheetFormatPr baseColWidth="10" defaultColWidth="11.44140625" defaultRowHeight="18" customHeight="1" x14ac:dyDescent="0.25"/>
  <cols>
    <col min="1" max="1" width="21.6640625" customWidth="1"/>
    <col min="2" max="2" width="14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67</v>
      </c>
    </row>
    <row r="8" spans="1:7" ht="15" customHeight="1" x14ac:dyDescent="0.25">
      <c r="B8" s="50"/>
      <c r="D8" t="s">
        <v>243</v>
      </c>
    </row>
    <row r="9" spans="1:7" ht="15" customHeight="1" x14ac:dyDescent="0.25">
      <c r="B9" s="50"/>
      <c r="D9" t="s">
        <v>244</v>
      </c>
    </row>
    <row r="10" spans="1:7" ht="15" customHeight="1" x14ac:dyDescent="0.25">
      <c r="B10" s="50"/>
      <c r="D10" t="s">
        <v>63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252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'Std-Erf'!D18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'Std-Erf'!E18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'Std-Erf'!C18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3"/>
  <sheetViews>
    <sheetView topLeftCell="A5"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4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83</v>
      </c>
    </row>
    <row r="9" spans="1:7" ht="15" customHeight="1" x14ac:dyDescent="0.25">
      <c r="B9" s="50"/>
      <c r="D9" t="s">
        <v>159</v>
      </c>
    </row>
    <row r="10" spans="1:7" ht="15" customHeight="1" x14ac:dyDescent="0.25">
      <c r="B10" s="50"/>
      <c r="D10" t="s">
        <v>64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125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16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'Std-Erf'!D19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'Std-Erf'!E19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f>E23</f>
        <v>0</v>
      </c>
      <c r="F25" s="59">
        <v>2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'Std-Erf'!C19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3"/>
  <sheetViews>
    <sheetView zoomScaleNormal="100" workbookViewId="0">
      <selection activeCell="E29" sqref="E29"/>
    </sheetView>
  </sheetViews>
  <sheetFormatPr baseColWidth="10" defaultColWidth="11.44140625" defaultRowHeight="18" customHeight="1" x14ac:dyDescent="0.25"/>
  <cols>
    <col min="1" max="1" width="21.6640625" customWidth="1"/>
    <col min="2" max="2" width="14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67</v>
      </c>
    </row>
    <row r="8" spans="1:7" ht="15" customHeight="1" x14ac:dyDescent="0.25">
      <c r="B8" s="50"/>
      <c r="D8" t="s">
        <v>181</v>
      </c>
    </row>
    <row r="9" spans="1:7" ht="15" customHeight="1" x14ac:dyDescent="0.25">
      <c r="B9" s="50"/>
      <c r="D9" t="s">
        <v>240</v>
      </c>
    </row>
    <row r="10" spans="1:7" ht="15" customHeight="1" x14ac:dyDescent="0.25">
      <c r="B10" s="50"/>
      <c r="D10" t="s">
        <v>241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182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178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3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'Std-Erf'!D20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'Std-Erf'!E20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f>E23</f>
        <v>0</v>
      </c>
      <c r="F25" s="59">
        <v>2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'Std-Erf'!C20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D1B8-70A0-4442-9847-901BE808A98E}">
  <dimension ref="A1:G54"/>
  <sheetViews>
    <sheetView topLeftCell="A4" zoomScaleNormal="100" workbookViewId="0">
      <selection activeCell="F20" sqref="F20"/>
    </sheetView>
  </sheetViews>
  <sheetFormatPr baseColWidth="10" defaultColWidth="11.44140625" defaultRowHeight="18" customHeight="1" x14ac:dyDescent="0.25"/>
  <cols>
    <col min="1" max="1" width="21.6640625" customWidth="1"/>
    <col min="2" max="2" width="17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60</v>
      </c>
    </row>
    <row r="8" spans="1:7" ht="15" customHeight="1" x14ac:dyDescent="0.25">
      <c r="B8" s="50"/>
      <c r="D8" t="s">
        <v>189</v>
      </c>
    </row>
    <row r="9" spans="1:7" ht="15" customHeight="1" x14ac:dyDescent="0.25">
      <c r="B9" s="50"/>
      <c r="D9" t="s">
        <v>190</v>
      </c>
    </row>
    <row r="10" spans="1:7" ht="15" customHeight="1" x14ac:dyDescent="0.25">
      <c r="B10" s="50"/>
      <c r="D10" t="s">
        <v>191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192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178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3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'Std-Erf'!D21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'Std-Erf'!E21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f>E23</f>
        <v>0</v>
      </c>
      <c r="F25" s="59">
        <v>2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66</v>
      </c>
      <c r="G40" s="59"/>
    </row>
    <row r="41" spans="1:7" ht="14.25" customHeight="1" x14ac:dyDescent="0.25">
      <c r="A41" t="s">
        <v>54</v>
      </c>
      <c r="G41" s="59">
        <f>'Std-Erf'!C21</f>
        <v>0</v>
      </c>
    </row>
    <row r="42" spans="1:7" ht="14.25" customHeight="1" x14ac:dyDescent="0.25">
      <c r="G42" s="59"/>
    </row>
    <row r="43" spans="1:7" s="34" customFormat="1" ht="24" customHeight="1" thickBot="1" x14ac:dyDescent="0.3">
      <c r="A43" s="58" t="s">
        <v>56</v>
      </c>
      <c r="B43" s="58"/>
      <c r="C43" s="58"/>
      <c r="D43" s="58"/>
      <c r="E43" s="58"/>
      <c r="F43" s="58"/>
      <c r="G43" s="63">
        <f>ROUND(SUM(G38:G41)*20,0)/20</f>
        <v>0</v>
      </c>
    </row>
    <row r="44" spans="1:7" ht="14.25" customHeight="1" x14ac:dyDescent="0.25"/>
    <row r="45" spans="1:7" ht="14.25" customHeight="1" x14ac:dyDescent="0.25"/>
    <row r="46" spans="1:7" ht="14.25" customHeight="1" x14ac:dyDescent="0.25">
      <c r="A46" t="s">
        <v>101</v>
      </c>
      <c r="B46" s="50">
        <v>0</v>
      </c>
      <c r="D46" t="s">
        <v>103</v>
      </c>
      <c r="F46" s="50">
        <v>0</v>
      </c>
    </row>
    <row r="47" spans="1:7" ht="14.25" customHeight="1" x14ac:dyDescent="0.25">
      <c r="A47" t="s">
        <v>102</v>
      </c>
      <c r="B47" s="50">
        <v>0</v>
      </c>
      <c r="D47" t="s">
        <v>109</v>
      </c>
      <c r="F47" s="50">
        <v>0</v>
      </c>
    </row>
    <row r="48" spans="1:7" ht="14.25" customHeight="1" x14ac:dyDescent="0.25"/>
    <row r="49" spans="1:4" ht="14.25" customHeight="1" x14ac:dyDescent="0.25">
      <c r="A49" t="s">
        <v>107</v>
      </c>
    </row>
    <row r="50" spans="1:4" ht="14.25" customHeight="1" x14ac:dyDescent="0.25">
      <c r="A50" t="s">
        <v>106</v>
      </c>
    </row>
    <row r="51" spans="1:4" ht="14.25" customHeight="1" x14ac:dyDescent="0.25"/>
    <row r="52" spans="1:4" ht="14.25" customHeight="1" x14ac:dyDescent="0.25">
      <c r="C52" t="s">
        <v>108</v>
      </c>
    </row>
    <row r="53" spans="1:4" ht="14.25" customHeight="1" x14ac:dyDescent="0.25"/>
    <row r="54" spans="1:4" ht="14.25" customHeight="1" x14ac:dyDescent="0.25">
      <c r="C54" s="34" t="s">
        <v>57</v>
      </c>
      <c r="D54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4"/>
  <sheetViews>
    <sheetView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4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60</v>
      </c>
    </row>
    <row r="8" spans="1:7" ht="15" customHeight="1" x14ac:dyDescent="0.25">
      <c r="B8" s="50"/>
      <c r="D8" t="s">
        <v>163</v>
      </c>
    </row>
    <row r="9" spans="1:7" ht="15" customHeight="1" x14ac:dyDescent="0.25">
      <c r="B9" s="50"/>
      <c r="D9" t="s">
        <v>220</v>
      </c>
    </row>
    <row r="10" spans="1:7" ht="15" customHeight="1" x14ac:dyDescent="0.25">
      <c r="B10" s="50"/>
      <c r="D10" t="s">
        <v>33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164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3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'Std-Erf'!D22</f>
        <v>0</v>
      </c>
      <c r="F23" s="59">
        <v>27.2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'Std-Erf'!E22</f>
        <v>0</v>
      </c>
      <c r="D24" s="67" t="s">
        <v>116</v>
      </c>
      <c r="E24" s="47">
        <f>C24/10</f>
        <v>0</v>
      </c>
      <c r="F24" s="59">
        <v>27.2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v>0</v>
      </c>
      <c r="F25" s="59">
        <v>0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F37" s="65"/>
      <c r="G37" s="59"/>
    </row>
    <row r="38" spans="1:7" ht="14.25" customHeight="1" x14ac:dyDescent="0.25">
      <c r="A38" t="s">
        <v>119</v>
      </c>
      <c r="E38" s="69">
        <f>(E23+E24)*1.0833</f>
        <v>0</v>
      </c>
      <c r="F38" s="72">
        <v>1.4999999999999999E-2</v>
      </c>
      <c r="G38" s="59">
        <f>PRODUCT(E38,F38)</f>
        <v>0</v>
      </c>
    </row>
    <row r="39" spans="1:7" s="34" customFormat="1" ht="14.25" customHeight="1" thickBot="1" x14ac:dyDescent="0.3">
      <c r="A39" s="58" t="s">
        <v>53</v>
      </c>
      <c r="B39" s="58"/>
      <c r="C39" s="58"/>
      <c r="D39" s="58"/>
      <c r="E39" s="58"/>
      <c r="F39" s="58"/>
      <c r="G39" s="63">
        <f>SUM(G32-(G34+G35+G36+G37+G38))</f>
        <v>0</v>
      </c>
    </row>
    <row r="40" spans="1:7" ht="6.75" customHeight="1" x14ac:dyDescent="0.25">
      <c r="E40" s="47"/>
      <c r="G40" s="59"/>
    </row>
    <row r="41" spans="1:7" ht="14.25" customHeight="1" x14ac:dyDescent="0.25">
      <c r="A41" t="s">
        <v>54</v>
      </c>
      <c r="G41" s="59">
        <f>'Std-Erf'!C22</f>
        <v>0</v>
      </c>
    </row>
    <row r="42" spans="1:7" ht="14.25" customHeight="1" x14ac:dyDescent="0.25">
      <c r="G42" s="59"/>
    </row>
    <row r="43" spans="1:7" s="34" customFormat="1" ht="24" customHeight="1" thickBot="1" x14ac:dyDescent="0.3">
      <c r="A43" s="58" t="s">
        <v>56</v>
      </c>
      <c r="B43" s="58"/>
      <c r="C43" s="58"/>
      <c r="D43" s="58"/>
      <c r="E43" s="58"/>
      <c r="F43" s="58"/>
      <c r="G43" s="63">
        <f>ROUND(SUM(G39:G41)*20,0)/20</f>
        <v>0</v>
      </c>
    </row>
    <row r="44" spans="1:7" ht="14.25" customHeight="1" x14ac:dyDescent="0.25"/>
    <row r="45" spans="1:7" ht="14.25" customHeight="1" x14ac:dyDescent="0.25"/>
    <row r="46" spans="1:7" ht="14.25" customHeight="1" x14ac:dyDescent="0.25">
      <c r="A46" t="s">
        <v>101</v>
      </c>
      <c r="B46" s="50">
        <v>0</v>
      </c>
      <c r="D46" t="s">
        <v>103</v>
      </c>
      <c r="F46" s="50">
        <v>0</v>
      </c>
    </row>
    <row r="47" spans="1:7" ht="14.25" customHeight="1" x14ac:dyDescent="0.25">
      <c r="A47" t="s">
        <v>102</v>
      </c>
      <c r="B47" s="50">
        <v>0</v>
      </c>
      <c r="D47" t="s">
        <v>109</v>
      </c>
      <c r="F47" s="50">
        <v>0</v>
      </c>
    </row>
    <row r="48" spans="1:7" ht="14.25" customHeight="1" x14ac:dyDescent="0.25"/>
    <row r="49" spans="1:4" ht="14.25" customHeight="1" x14ac:dyDescent="0.25">
      <c r="A49" t="s">
        <v>107</v>
      </c>
    </row>
    <row r="50" spans="1:4" ht="14.25" customHeight="1" x14ac:dyDescent="0.25">
      <c r="A50" t="s">
        <v>106</v>
      </c>
    </row>
    <row r="51" spans="1:4" ht="14.25" customHeight="1" x14ac:dyDescent="0.25"/>
    <row r="52" spans="1:4" ht="14.25" customHeight="1" x14ac:dyDescent="0.25">
      <c r="C52" t="s">
        <v>108</v>
      </c>
    </row>
    <row r="53" spans="1:4" ht="14.25" customHeight="1" x14ac:dyDescent="0.25"/>
    <row r="54" spans="1:4" ht="14.25" customHeight="1" x14ac:dyDescent="0.25">
      <c r="C54" s="34" t="s">
        <v>57</v>
      </c>
      <c r="D54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4"/>
  <sheetViews>
    <sheetView topLeftCell="A9"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7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60</v>
      </c>
    </row>
    <row r="8" spans="1:7" ht="15" customHeight="1" x14ac:dyDescent="0.25">
      <c r="B8" s="50"/>
      <c r="D8" t="s">
        <v>84</v>
      </c>
    </row>
    <row r="9" spans="1:7" ht="15" customHeight="1" x14ac:dyDescent="0.25">
      <c r="B9" s="50"/>
      <c r="D9" t="s">
        <v>71</v>
      </c>
    </row>
    <row r="10" spans="1:7" ht="15" customHeight="1" x14ac:dyDescent="0.25">
      <c r="B10" s="50"/>
      <c r="D10" t="s">
        <v>85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126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95</v>
      </c>
      <c r="D16" s="34" t="s">
        <v>96</v>
      </c>
      <c r="E16" s="51"/>
      <c r="F16" s="50" t="s">
        <v>111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99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6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'Std-Erf'!D23</f>
        <v>0</v>
      </c>
      <c r="F23" s="59">
        <v>33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/>
      <c r="D24" s="67"/>
      <c r="E24" s="47">
        <f>C24/10</f>
        <v>0</v>
      </c>
      <c r="F24" s="59">
        <v>0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v>0</v>
      </c>
      <c r="F25" s="59">
        <v>0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0.10639999999999999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131</v>
      </c>
      <c r="F37" s="65"/>
      <c r="G37" s="59"/>
    </row>
    <row r="38" spans="1:7" ht="14.25" customHeight="1" x14ac:dyDescent="0.25">
      <c r="A38" t="s">
        <v>119</v>
      </c>
      <c r="E38" s="69"/>
      <c r="F38" s="59"/>
      <c r="G38" s="59">
        <f>PRODUCT(E38,F38)</f>
        <v>0</v>
      </c>
    </row>
    <row r="39" spans="1:7" s="34" customFormat="1" ht="14.25" customHeight="1" thickBot="1" x14ac:dyDescent="0.3">
      <c r="A39" s="58" t="s">
        <v>53</v>
      </c>
      <c r="B39" s="58"/>
      <c r="C39" s="58"/>
      <c r="D39" s="58"/>
      <c r="E39" s="58"/>
      <c r="F39" s="58"/>
      <c r="G39" s="63">
        <f>SUM(G32-(G34+G35+G36+G38+G37))</f>
        <v>0</v>
      </c>
    </row>
    <row r="40" spans="1:7" ht="6.75" customHeight="1" x14ac:dyDescent="0.25">
      <c r="E40" s="47"/>
      <c r="G40" s="59"/>
    </row>
    <row r="41" spans="1:7" ht="14.25" customHeight="1" x14ac:dyDescent="0.25">
      <c r="A41" t="s">
        <v>54</v>
      </c>
      <c r="G41" s="59">
        <f>'Std-Erf'!C23</f>
        <v>0</v>
      </c>
    </row>
    <row r="42" spans="1:7" ht="14.25" customHeight="1" x14ac:dyDescent="0.25">
      <c r="G42" s="59"/>
    </row>
    <row r="43" spans="1:7" s="34" customFormat="1" ht="24" customHeight="1" thickBot="1" x14ac:dyDescent="0.3">
      <c r="A43" s="58" t="s">
        <v>56</v>
      </c>
      <c r="B43" s="58"/>
      <c r="C43" s="58"/>
      <c r="D43" s="58"/>
      <c r="E43" s="58"/>
      <c r="F43" s="58"/>
      <c r="G43" s="63">
        <f>ROUND(SUM(G39:G41)*20,0)/20</f>
        <v>0</v>
      </c>
    </row>
    <row r="44" spans="1:7" ht="14.25" customHeight="1" x14ac:dyDescent="0.25"/>
    <row r="45" spans="1:7" ht="14.25" customHeight="1" x14ac:dyDescent="0.25"/>
    <row r="46" spans="1:7" ht="14.25" customHeight="1" x14ac:dyDescent="0.25">
      <c r="A46" t="s">
        <v>101</v>
      </c>
      <c r="B46" s="50">
        <v>0</v>
      </c>
      <c r="D46" t="s">
        <v>103</v>
      </c>
      <c r="F46" s="50">
        <v>0</v>
      </c>
    </row>
    <row r="47" spans="1:7" ht="14.25" customHeight="1" x14ac:dyDescent="0.25">
      <c r="A47" t="s">
        <v>102</v>
      </c>
      <c r="B47" s="50">
        <v>0</v>
      </c>
      <c r="D47" t="s">
        <v>109</v>
      </c>
      <c r="F47" s="50">
        <v>0</v>
      </c>
    </row>
    <row r="48" spans="1:7" ht="14.25" customHeight="1" x14ac:dyDescent="0.25"/>
    <row r="49" spans="1:4" ht="14.25" customHeight="1" x14ac:dyDescent="0.25">
      <c r="A49" t="s">
        <v>107</v>
      </c>
    </row>
    <row r="50" spans="1:4" ht="14.25" customHeight="1" x14ac:dyDescent="0.25">
      <c r="A50" t="s">
        <v>106</v>
      </c>
    </row>
    <row r="51" spans="1:4" ht="14.25" customHeight="1" x14ac:dyDescent="0.25"/>
    <row r="52" spans="1:4" ht="14.25" customHeight="1" x14ac:dyDescent="0.25">
      <c r="C52" t="s">
        <v>108</v>
      </c>
    </row>
    <row r="53" spans="1:4" ht="14.25" customHeight="1" x14ac:dyDescent="0.25"/>
    <row r="54" spans="1:4" ht="14.25" customHeight="1" x14ac:dyDescent="0.25">
      <c r="C54" s="34" t="s">
        <v>57</v>
      </c>
      <c r="D54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3"/>
  <sheetViews>
    <sheetView topLeftCell="A4"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4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139</v>
      </c>
    </row>
    <row r="9" spans="1:7" ht="15" customHeight="1" x14ac:dyDescent="0.25">
      <c r="B9" s="50"/>
      <c r="D9" t="s">
        <v>142</v>
      </c>
    </row>
    <row r="10" spans="1:7" ht="15" customHeight="1" x14ac:dyDescent="0.25">
      <c r="B10" s="50"/>
      <c r="D10" t="s">
        <v>143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140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178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10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'Std-Erf'!D24</f>
        <v>0</v>
      </c>
      <c r="F23" s="59">
        <v>27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'Std-Erf'!E24</f>
        <v>0</v>
      </c>
      <c r="D24" s="67" t="s">
        <v>116</v>
      </c>
      <c r="E24" s="47">
        <f>C24/10</f>
        <v>0</v>
      </c>
      <c r="F24" s="59">
        <v>27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f>'Std-Erf'!D24</f>
        <v>0</v>
      </c>
      <c r="F25" s="59">
        <v>3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0.10639999999999999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'Std-Erf'!C24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ROUND(SUM(G38:G41)*20,0)/20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61BB-6C6B-4500-9B7A-F33FA7EADA1A}">
  <dimension ref="A1:G53"/>
  <sheetViews>
    <sheetView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4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139</v>
      </c>
    </row>
    <row r="9" spans="1:7" ht="15" customHeight="1" x14ac:dyDescent="0.25">
      <c r="B9" s="50"/>
      <c r="D9" t="s">
        <v>142</v>
      </c>
    </row>
    <row r="10" spans="1:7" ht="15" customHeight="1" x14ac:dyDescent="0.25">
      <c r="B10" s="50"/>
      <c r="D10" t="s">
        <v>143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140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178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10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v>3.25</v>
      </c>
      <c r="F23" s="59">
        <v>27</v>
      </c>
      <c r="G23" s="59">
        <f t="shared" ref="G23:G28" si="0">PRODUCT(E23:F23)</f>
        <v>87.75</v>
      </c>
    </row>
    <row r="24" spans="1:7" ht="14.25" customHeight="1" x14ac:dyDescent="0.25">
      <c r="A24" t="s">
        <v>114</v>
      </c>
      <c r="C24" s="68">
        <f>'Std-Erf'!E24</f>
        <v>0</v>
      </c>
      <c r="D24" s="67" t="s">
        <v>116</v>
      </c>
      <c r="E24" s="47">
        <f>C24/10</f>
        <v>0</v>
      </c>
      <c r="F24" s="59">
        <v>27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v>3.25</v>
      </c>
      <c r="F25" s="59">
        <v>3</v>
      </c>
      <c r="G25" s="59">
        <f t="shared" si="0"/>
        <v>9.75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97.5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0.10639999999999999</v>
      </c>
      <c r="G31" s="59">
        <f>PRODUCT(G29*F31)</f>
        <v>10.373999999999999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107.874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5.7173219999999993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1.1866139999999998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0.88564553999999995</v>
      </c>
    </row>
    <row r="37" spans="1:7" ht="14.25" customHeight="1" x14ac:dyDescent="0.25">
      <c r="A37" t="s">
        <v>119</v>
      </c>
      <c r="E37" s="69">
        <f>(E23+E24)*1.0833</f>
        <v>3.5207249999999997</v>
      </c>
      <c r="F37" s="72">
        <v>1.4999999999999999E-2</v>
      </c>
      <c r="G37" s="59">
        <f>PRODUCT(E37,F37)</f>
        <v>5.2810874999999993E-2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100.031607585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v>50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ROUND(SUM(G38:G41)*20,0)/20</f>
        <v>150.05000000000001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D2EA-2349-40B8-9FCE-39D914EB428F}">
  <dimension ref="A1:G53"/>
  <sheetViews>
    <sheetView topLeftCell="A5"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5.33203125" customWidth="1"/>
    <col min="3" max="3" width="11.5546875" customWidth="1"/>
    <col min="4" max="4" width="9" customWidth="1"/>
    <col min="5" max="5" width="11" customWidth="1"/>
    <col min="6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67</v>
      </c>
    </row>
    <row r="8" spans="1:7" ht="15" customHeight="1" x14ac:dyDescent="0.25">
      <c r="B8" s="50"/>
      <c r="D8" t="s">
        <v>264</v>
      </c>
    </row>
    <row r="9" spans="1:7" ht="15" customHeight="1" x14ac:dyDescent="0.25">
      <c r="B9" s="50"/>
      <c r="D9" t="s">
        <v>265</v>
      </c>
    </row>
    <row r="10" spans="1:7" ht="15" customHeight="1" x14ac:dyDescent="0.25">
      <c r="B10" s="50"/>
      <c r="D10" t="s">
        <v>266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267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178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0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'Std-Erf'!D26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'Std-Erf'!E26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'Std-Erf'!C26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3307086614173229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3"/>
  <sheetViews>
    <sheetView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7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185</v>
      </c>
    </row>
    <row r="9" spans="1:7" ht="15" customHeight="1" x14ac:dyDescent="0.25">
      <c r="B9" s="50"/>
      <c r="D9" t="s">
        <v>186</v>
      </c>
    </row>
    <row r="10" spans="1:7" ht="15" customHeight="1" x14ac:dyDescent="0.25">
      <c r="B10" s="50"/>
      <c r="D10" t="s">
        <v>187</v>
      </c>
    </row>
    <row r="11" spans="1:7" ht="15" customHeight="1" x14ac:dyDescent="0.25">
      <c r="B11" s="50"/>
      <c r="C11" s="50"/>
      <c r="D11" s="79"/>
      <c r="E11" s="50"/>
    </row>
    <row r="12" spans="1:7" ht="15" customHeight="1" x14ac:dyDescent="0.25">
      <c r="A12" t="s">
        <v>188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8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'Std-Erf'!D27</f>
        <v>0</v>
      </c>
      <c r="F23" s="59">
        <v>40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'Std-Erf'!E27</f>
        <v>0</v>
      </c>
      <c r="D24" s="67" t="s">
        <v>116</v>
      </c>
      <c r="E24" s="47">
        <f>C24/10</f>
        <v>0</v>
      </c>
      <c r="F24" s="59">
        <v>40</v>
      </c>
      <c r="G24" s="59">
        <f t="shared" si="0"/>
        <v>0</v>
      </c>
    </row>
    <row r="25" spans="1:7" ht="14.25" customHeight="1" x14ac:dyDescent="0.25">
      <c r="D25" s="67"/>
      <c r="E25" s="47">
        <v>0</v>
      </c>
      <c r="F25" s="59">
        <v>0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'Std-Erf'!C27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3"/>
  <sheetViews>
    <sheetView topLeftCell="A4"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7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69</v>
      </c>
    </row>
    <row r="9" spans="1:7" ht="15" customHeight="1" x14ac:dyDescent="0.25">
      <c r="B9" s="50"/>
      <c r="D9" t="s">
        <v>86</v>
      </c>
    </row>
    <row r="10" spans="1:7" ht="15" customHeight="1" x14ac:dyDescent="0.25">
      <c r="B10" s="50"/>
      <c r="D10" t="s">
        <v>68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127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7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'Std-Erf'!D28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'Std-Erf'!E28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'Std-Erf'!C28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3"/>
  <sheetViews>
    <sheetView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7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118</v>
      </c>
    </row>
    <row r="9" spans="1:7" ht="15" customHeight="1" x14ac:dyDescent="0.25">
      <c r="B9" s="50"/>
      <c r="D9" t="s">
        <v>86</v>
      </c>
    </row>
    <row r="10" spans="1:7" ht="15" customHeight="1" x14ac:dyDescent="0.25">
      <c r="B10" s="50"/>
      <c r="D10" t="s">
        <v>68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141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15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'Std-Erf'!D29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'Std-Erf'!E29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f>E23</f>
        <v>0</v>
      </c>
      <c r="F25" s="59">
        <v>1.5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0.10639999999999999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'Std-Erf'!C29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9FDB-C85F-47F6-A333-4CB368F2580A}">
  <dimension ref="A1:G53"/>
  <sheetViews>
    <sheetView zoomScaleNormal="100" workbookViewId="0">
      <selection activeCell="G41" sqref="G41"/>
    </sheetView>
  </sheetViews>
  <sheetFormatPr baseColWidth="10" defaultColWidth="11.44140625" defaultRowHeight="18" customHeight="1" x14ac:dyDescent="0.25"/>
  <cols>
    <col min="1" max="1" width="21.6640625" customWidth="1"/>
    <col min="2" max="2" width="14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270</v>
      </c>
    </row>
    <row r="9" spans="1:7" ht="15" customHeight="1" x14ac:dyDescent="0.25">
      <c r="B9" s="50"/>
      <c r="D9" t="s">
        <v>271</v>
      </c>
    </row>
    <row r="10" spans="1:7" ht="15" customHeight="1" x14ac:dyDescent="0.25">
      <c r="B10" s="50"/>
      <c r="D10" t="s">
        <v>272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273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144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0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'Std-Erf'!D30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'Std-Erf'!E30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'Std-Erf'!C30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7F78-F9C6-47C4-B3B3-CCF4C0D3AF94}">
  <dimension ref="A1:G55"/>
  <sheetViews>
    <sheetView topLeftCell="A7" zoomScaleNormal="100" workbookViewId="0">
      <selection activeCell="E29" sqref="E29"/>
    </sheetView>
  </sheetViews>
  <sheetFormatPr baseColWidth="10" defaultColWidth="11.44140625" defaultRowHeight="18" customHeight="1" x14ac:dyDescent="0.25"/>
  <cols>
    <col min="1" max="1" width="21.6640625" customWidth="1"/>
    <col min="2" max="2" width="14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60</v>
      </c>
    </row>
    <row r="8" spans="1:7" ht="15" customHeight="1" x14ac:dyDescent="0.25">
      <c r="B8" s="50"/>
      <c r="D8" t="s">
        <v>211</v>
      </c>
    </row>
    <row r="9" spans="1:7" ht="15" customHeight="1" x14ac:dyDescent="0.25">
      <c r="B9" s="50"/>
      <c r="D9" t="s">
        <v>152</v>
      </c>
    </row>
    <row r="10" spans="1:7" ht="15" customHeight="1" x14ac:dyDescent="0.25">
      <c r="B10" s="50"/>
      <c r="D10" t="s">
        <v>153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212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2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'Std-Erf'!D31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'Std-Erf'!E31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v>0</v>
      </c>
      <c r="F25" s="59">
        <v>0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210</v>
      </c>
      <c r="F37" s="65"/>
      <c r="G37" s="59">
        <v>13</v>
      </c>
    </row>
    <row r="38" spans="1:7" ht="14.25" customHeight="1" x14ac:dyDescent="0.25">
      <c r="A38" t="s">
        <v>214</v>
      </c>
      <c r="F38" s="65"/>
      <c r="G38" s="59">
        <v>0</v>
      </c>
    </row>
    <row r="39" spans="1:7" ht="14.25" customHeight="1" x14ac:dyDescent="0.25">
      <c r="A39" t="s">
        <v>119</v>
      </c>
      <c r="E39" s="69">
        <f>(E23+E24)*1.0833</f>
        <v>0</v>
      </c>
      <c r="F39" s="72">
        <v>1.4999999999999999E-2</v>
      </c>
      <c r="G39" s="59">
        <f>PRODUCT(E39,F39)</f>
        <v>0</v>
      </c>
    </row>
    <row r="40" spans="1:7" s="34" customFormat="1" ht="14.25" customHeight="1" thickBot="1" x14ac:dyDescent="0.3">
      <c r="A40" s="58" t="s">
        <v>53</v>
      </c>
      <c r="B40" s="58"/>
      <c r="C40" s="58"/>
      <c r="D40" s="58"/>
      <c r="E40" s="58"/>
      <c r="F40" s="58"/>
      <c r="G40" s="63">
        <f>SUM(G32-(G34+G35+G36+G39+G37+G38))</f>
        <v>-13</v>
      </c>
    </row>
    <row r="41" spans="1:7" ht="6.75" customHeight="1" x14ac:dyDescent="0.25">
      <c r="E41" s="47"/>
      <c r="G41" s="59"/>
    </row>
    <row r="42" spans="1:7" ht="14.25" customHeight="1" x14ac:dyDescent="0.25">
      <c r="A42" t="s">
        <v>54</v>
      </c>
      <c r="G42" s="59">
        <f>'Std-Erf'!C31</f>
        <v>0</v>
      </c>
    </row>
    <row r="43" spans="1:7" ht="14.25" customHeight="1" x14ac:dyDescent="0.25">
      <c r="G43" s="59"/>
    </row>
    <row r="44" spans="1:7" s="34" customFormat="1" ht="24" customHeight="1" thickBot="1" x14ac:dyDescent="0.3">
      <c r="A44" s="58" t="s">
        <v>56</v>
      </c>
      <c r="B44" s="58"/>
      <c r="C44" s="58"/>
      <c r="D44" s="58"/>
      <c r="E44" s="58"/>
      <c r="F44" s="58"/>
      <c r="G44" s="63">
        <f>ROUND(SUM(G40:G42)*20,0)/20</f>
        <v>-13</v>
      </c>
    </row>
    <row r="45" spans="1:7" ht="14.25" customHeight="1" x14ac:dyDescent="0.25"/>
    <row r="46" spans="1:7" ht="14.25" customHeight="1" x14ac:dyDescent="0.25"/>
    <row r="47" spans="1:7" ht="14.25" customHeight="1" x14ac:dyDescent="0.25">
      <c r="A47" t="s">
        <v>101</v>
      </c>
      <c r="B47" s="50">
        <v>0</v>
      </c>
      <c r="D47" t="s">
        <v>103</v>
      </c>
      <c r="F47" s="50">
        <v>0</v>
      </c>
    </row>
    <row r="48" spans="1:7" ht="14.25" customHeight="1" x14ac:dyDescent="0.25">
      <c r="A48" t="s">
        <v>102</v>
      </c>
      <c r="B48" s="50">
        <v>0</v>
      </c>
      <c r="D48" t="s">
        <v>109</v>
      </c>
      <c r="F48" s="50">
        <v>0</v>
      </c>
    </row>
    <row r="49" spans="1:4" ht="14.25" customHeight="1" x14ac:dyDescent="0.25"/>
    <row r="50" spans="1:4" ht="14.25" customHeight="1" x14ac:dyDescent="0.25">
      <c r="A50" t="s">
        <v>107</v>
      </c>
    </row>
    <row r="51" spans="1:4" ht="14.25" customHeight="1" x14ac:dyDescent="0.25">
      <c r="A51" t="s">
        <v>106</v>
      </c>
    </row>
    <row r="52" spans="1:4" ht="14.25" customHeight="1" x14ac:dyDescent="0.25"/>
    <row r="53" spans="1:4" ht="14.25" customHeight="1" x14ac:dyDescent="0.25">
      <c r="C53" t="s">
        <v>108</v>
      </c>
    </row>
    <row r="54" spans="1:4" ht="14.25" customHeight="1" x14ac:dyDescent="0.25"/>
    <row r="55" spans="1:4" ht="14.25" customHeight="1" x14ac:dyDescent="0.25">
      <c r="C55" s="34" t="s">
        <v>57</v>
      </c>
      <c r="D55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55"/>
  <sheetViews>
    <sheetView zoomScaleNormal="100" workbookViewId="0">
      <selection activeCell="E29" sqref="E29"/>
    </sheetView>
  </sheetViews>
  <sheetFormatPr baseColWidth="10" defaultColWidth="11.44140625" defaultRowHeight="18" customHeight="1" x14ac:dyDescent="0.25"/>
  <cols>
    <col min="1" max="1" width="21.6640625" customWidth="1"/>
    <col min="2" max="2" width="14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67</v>
      </c>
    </row>
    <row r="8" spans="1:7" ht="15" customHeight="1" x14ac:dyDescent="0.25">
      <c r="B8" s="50"/>
      <c r="D8" t="s">
        <v>156</v>
      </c>
    </row>
    <row r="9" spans="1:7" ht="15" customHeight="1" x14ac:dyDescent="0.25">
      <c r="B9" s="50"/>
      <c r="D9" t="s">
        <v>221</v>
      </c>
    </row>
    <row r="10" spans="1:7" ht="15" customHeight="1" x14ac:dyDescent="0.25">
      <c r="B10" s="50"/>
      <c r="D10" t="s">
        <v>153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151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5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'Std-Erf'!D32</f>
        <v>0</v>
      </c>
      <c r="F23" s="59">
        <v>26.2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'Std-Erf'!E32</f>
        <v>0</v>
      </c>
      <c r="D24" s="67" t="s">
        <v>116</v>
      </c>
      <c r="E24" s="47">
        <f>C24/10</f>
        <v>0</v>
      </c>
      <c r="F24" s="59">
        <v>26.2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F37" s="65"/>
      <c r="G37" s="59"/>
    </row>
    <row r="38" spans="1:7" ht="14.25" customHeight="1" x14ac:dyDescent="0.25">
      <c r="A38" t="s">
        <v>119</v>
      </c>
      <c r="E38" s="69">
        <f>(E23+E24)*1.0833</f>
        <v>0</v>
      </c>
      <c r="F38" s="72">
        <v>1.4999999999999999E-2</v>
      </c>
      <c r="G38" s="59">
        <f>PRODUCT(E38,F38)</f>
        <v>0</v>
      </c>
    </row>
    <row r="39" spans="1:7" s="34" customFormat="1" ht="13.95" customHeight="1" thickBot="1" x14ac:dyDescent="0.3">
      <c r="A39" s="58" t="s">
        <v>53</v>
      </c>
      <c r="B39" s="58"/>
      <c r="C39" s="58"/>
      <c r="D39" s="58"/>
      <c r="E39" s="58"/>
      <c r="F39" s="58"/>
      <c r="G39" s="63">
        <f>SUM(G32-(G34+G35+G36+G37+G38))</f>
        <v>0</v>
      </c>
    </row>
    <row r="40" spans="1:7" ht="6.6" customHeight="1" x14ac:dyDescent="0.25">
      <c r="E40" s="47"/>
      <c r="G40" s="59"/>
    </row>
    <row r="41" spans="1:7" ht="13.2" customHeight="1" x14ac:dyDescent="0.25">
      <c r="E41" s="47"/>
      <c r="G41" s="59"/>
    </row>
    <row r="42" spans="1:7" ht="14.25" customHeight="1" x14ac:dyDescent="0.25">
      <c r="A42" t="s">
        <v>54</v>
      </c>
      <c r="G42" s="59">
        <f>'Std-Erf'!C32</f>
        <v>0</v>
      </c>
    </row>
    <row r="43" spans="1:7" ht="14.25" customHeight="1" x14ac:dyDescent="0.25">
      <c r="G43" s="59"/>
    </row>
    <row r="44" spans="1:7" s="34" customFormat="1" ht="24" customHeight="1" thickBot="1" x14ac:dyDescent="0.3">
      <c r="A44" s="58" t="s">
        <v>56</v>
      </c>
      <c r="B44" s="58"/>
      <c r="C44" s="58"/>
      <c r="D44" s="58"/>
      <c r="E44" s="58"/>
      <c r="F44" s="58"/>
      <c r="G44" s="63">
        <f>ROUND(SUM(G39:G43)*20,0)/20</f>
        <v>0</v>
      </c>
    </row>
    <row r="45" spans="1:7" ht="14.25" customHeight="1" x14ac:dyDescent="0.25"/>
    <row r="46" spans="1:7" ht="14.25" customHeight="1" x14ac:dyDescent="0.25"/>
    <row r="47" spans="1:7" ht="14.25" customHeight="1" x14ac:dyDescent="0.25">
      <c r="A47" t="s">
        <v>101</v>
      </c>
      <c r="B47" s="50">
        <v>0</v>
      </c>
      <c r="D47" t="s">
        <v>103</v>
      </c>
      <c r="F47" s="50">
        <v>0</v>
      </c>
    </row>
    <row r="48" spans="1:7" ht="14.25" customHeight="1" x14ac:dyDescent="0.25">
      <c r="A48" t="s">
        <v>102</v>
      </c>
      <c r="B48" s="50">
        <v>0</v>
      </c>
      <c r="D48" t="s">
        <v>109</v>
      </c>
      <c r="F48" s="50">
        <v>0</v>
      </c>
    </row>
    <row r="49" spans="1:4" ht="14.25" customHeight="1" x14ac:dyDescent="0.25"/>
    <row r="50" spans="1:4" ht="14.25" customHeight="1" x14ac:dyDescent="0.25">
      <c r="A50" t="s">
        <v>107</v>
      </c>
    </row>
    <row r="51" spans="1:4" ht="14.25" customHeight="1" x14ac:dyDescent="0.25">
      <c r="A51" t="s">
        <v>106</v>
      </c>
    </row>
    <row r="52" spans="1:4" ht="14.25" customHeight="1" x14ac:dyDescent="0.25"/>
    <row r="53" spans="1:4" ht="14.25" customHeight="1" x14ac:dyDescent="0.25">
      <c r="C53" t="s">
        <v>108</v>
      </c>
    </row>
    <row r="54" spans="1:4" ht="14.25" customHeight="1" x14ac:dyDescent="0.25"/>
    <row r="55" spans="1:4" ht="14.25" customHeight="1" x14ac:dyDescent="0.25">
      <c r="C55" s="34" t="s">
        <v>57</v>
      </c>
      <c r="D55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9C31-10FF-42FB-A818-08A9893D7A94}">
  <dimension ref="A1:G53"/>
  <sheetViews>
    <sheetView zoomScaleNormal="100" workbookViewId="0">
      <selection activeCell="F20" sqref="F20"/>
    </sheetView>
  </sheetViews>
  <sheetFormatPr baseColWidth="10" defaultColWidth="11.44140625" defaultRowHeight="18" customHeight="1" x14ac:dyDescent="0.25"/>
  <cols>
    <col min="1" max="1" width="21.6640625" customWidth="1"/>
    <col min="2" max="2" width="14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60</v>
      </c>
    </row>
    <row r="8" spans="1:7" ht="15" customHeight="1" x14ac:dyDescent="0.25">
      <c r="B8" s="50"/>
      <c r="D8" t="s">
        <v>254</v>
      </c>
    </row>
    <row r="9" spans="1:7" ht="15" customHeight="1" x14ac:dyDescent="0.25">
      <c r="B9" s="50"/>
      <c r="D9" t="s">
        <v>88</v>
      </c>
    </row>
    <row r="10" spans="1:7" ht="15" customHeight="1" x14ac:dyDescent="0.25">
      <c r="B10" s="50"/>
      <c r="D10" t="s">
        <v>68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255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C23" s="68"/>
      <c r="D23" s="67" t="s">
        <v>116</v>
      </c>
      <c r="E23" s="47">
        <f>'Std-Erf'!D33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'Std-Erf'!E33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v>0</v>
      </c>
      <c r="F25" s="59">
        <v>0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'Std-Erf'!C33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53"/>
  <sheetViews>
    <sheetView topLeftCell="A7"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4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87</v>
      </c>
    </row>
    <row r="9" spans="1:7" ht="15" customHeight="1" x14ac:dyDescent="0.25">
      <c r="B9" s="50"/>
      <c r="D9" t="s">
        <v>88</v>
      </c>
    </row>
    <row r="10" spans="1:7" ht="15" customHeight="1" x14ac:dyDescent="0.25">
      <c r="B10" s="50"/>
      <c r="D10" t="s">
        <v>68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128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11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'Std-Erf'!D34</f>
        <v>0</v>
      </c>
      <c r="F23" s="59">
        <v>27.2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'Std-Erf'!E34</f>
        <v>0</v>
      </c>
      <c r="D24" s="67" t="s">
        <v>116</v>
      </c>
      <c r="E24" s="47">
        <f>C24/10</f>
        <v>0</v>
      </c>
      <c r="F24" s="59">
        <v>27.2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'Std-Erf'!C34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53"/>
  <sheetViews>
    <sheetView zoomScaleNormal="100" workbookViewId="0">
      <selection activeCell="F36" sqref="F36"/>
    </sheetView>
  </sheetViews>
  <sheetFormatPr baseColWidth="10" defaultColWidth="11.44140625" defaultRowHeight="18" customHeight="1" x14ac:dyDescent="0.25"/>
  <cols>
    <col min="1" max="1" width="21.6640625" customWidth="1"/>
    <col min="2" max="2" width="14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89</v>
      </c>
    </row>
    <row r="9" spans="1:7" ht="15" customHeight="1" x14ac:dyDescent="0.25">
      <c r="B9" s="50"/>
      <c r="D9" t="s">
        <v>117</v>
      </c>
    </row>
    <row r="10" spans="1:7" ht="15" customHeight="1" x14ac:dyDescent="0.25">
      <c r="B10" s="50"/>
      <c r="D10" t="s">
        <v>63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129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11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'Std-Erf'!D35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'Std-Erf'!E35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f>E23</f>
        <v>0</v>
      </c>
      <c r="F25" s="59">
        <v>2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119</v>
      </c>
      <c r="E37" s="69">
        <f>(E23+E24)*1.0833</f>
        <v>0</v>
      </c>
      <c r="F37" s="72">
        <v>1.4999999999999999E-2</v>
      </c>
      <c r="G37" s="59">
        <f>PRODUCT(E37,F37)</f>
        <v>0</v>
      </c>
    </row>
    <row r="38" spans="1:7" s="34" customFormat="1" ht="14.25" customHeight="1" thickBot="1" x14ac:dyDescent="0.3">
      <c r="A38" s="58" t="s">
        <v>53</v>
      </c>
      <c r="B38" s="58"/>
      <c r="C38" s="58"/>
      <c r="D38" s="58"/>
      <c r="E38" s="58"/>
      <c r="F38" s="58"/>
      <c r="G38" s="63">
        <f>SUM(G32-(G34+G35+G36+G37))</f>
        <v>0</v>
      </c>
    </row>
    <row r="39" spans="1:7" ht="6.75" customHeight="1" x14ac:dyDescent="0.25">
      <c r="E39" s="47"/>
      <c r="G39" s="59"/>
    </row>
    <row r="40" spans="1:7" ht="14.25" customHeight="1" x14ac:dyDescent="0.25">
      <c r="A40" t="s">
        <v>54</v>
      </c>
      <c r="G40" s="59">
        <f>'Std-Erf'!C35</f>
        <v>0</v>
      </c>
    </row>
    <row r="41" spans="1:7" ht="14.25" customHeight="1" x14ac:dyDescent="0.25">
      <c r="G41" s="59"/>
    </row>
    <row r="42" spans="1:7" s="34" customFormat="1" ht="24" customHeight="1" thickBot="1" x14ac:dyDescent="0.3">
      <c r="A42" s="58" t="s">
        <v>56</v>
      </c>
      <c r="B42" s="58"/>
      <c r="C42" s="58"/>
      <c r="D42" s="58"/>
      <c r="E42" s="58"/>
      <c r="F42" s="58"/>
      <c r="G42" s="63">
        <f>ROUND(SUM(G38:G40)*20,0)/20</f>
        <v>0</v>
      </c>
    </row>
    <row r="43" spans="1:7" ht="14.25" customHeight="1" x14ac:dyDescent="0.25"/>
    <row r="44" spans="1:7" ht="14.25" customHeight="1" x14ac:dyDescent="0.25"/>
    <row r="45" spans="1:7" ht="14.25" customHeight="1" x14ac:dyDescent="0.25">
      <c r="A45" t="s">
        <v>101</v>
      </c>
      <c r="B45" s="50">
        <v>0</v>
      </c>
      <c r="D45" t="s">
        <v>103</v>
      </c>
      <c r="F45" s="50">
        <v>0</v>
      </c>
    </row>
    <row r="46" spans="1:7" ht="14.25" customHeight="1" x14ac:dyDescent="0.25">
      <c r="A46" t="s">
        <v>102</v>
      </c>
      <c r="B46" s="50">
        <v>0</v>
      </c>
      <c r="D46" t="s">
        <v>109</v>
      </c>
      <c r="F46" s="50">
        <v>0</v>
      </c>
    </row>
    <row r="47" spans="1:7" ht="14.25" customHeight="1" x14ac:dyDescent="0.25"/>
    <row r="48" spans="1:7" ht="14.25" customHeight="1" x14ac:dyDescent="0.25">
      <c r="A48" t="s">
        <v>107</v>
      </c>
    </row>
    <row r="49" spans="1:4" ht="14.25" customHeight="1" x14ac:dyDescent="0.25">
      <c r="A49" t="s">
        <v>106</v>
      </c>
    </row>
    <row r="50" spans="1:4" ht="14.25" customHeight="1" x14ac:dyDescent="0.25"/>
    <row r="51" spans="1:4" ht="14.25" customHeight="1" x14ac:dyDescent="0.25">
      <c r="C51" t="s">
        <v>108</v>
      </c>
    </row>
    <row r="52" spans="1:4" ht="14.25" customHeight="1" x14ac:dyDescent="0.25"/>
    <row r="53" spans="1:4" ht="14.25" customHeight="1" x14ac:dyDescent="0.25">
      <c r="C53" s="34" t="s">
        <v>57</v>
      </c>
      <c r="D53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54"/>
  <sheetViews>
    <sheetView topLeftCell="A8" zoomScaleNormal="100" workbookViewId="0">
      <selection activeCell="F48" sqref="F48"/>
    </sheetView>
  </sheetViews>
  <sheetFormatPr baseColWidth="10" defaultColWidth="11.44140625" defaultRowHeight="18" customHeight="1" x14ac:dyDescent="0.25"/>
  <cols>
    <col min="1" max="1" width="21.6640625" customWidth="1"/>
    <col min="2" max="2" width="14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91</v>
      </c>
    </row>
    <row r="9" spans="1:7" ht="15" customHeight="1" x14ac:dyDescent="0.25">
      <c r="B9" s="50"/>
      <c r="D9" t="s">
        <v>94</v>
      </c>
    </row>
    <row r="10" spans="1:7" ht="15" customHeight="1" x14ac:dyDescent="0.25">
      <c r="B10" s="50"/>
      <c r="D10" t="s">
        <v>70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134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133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9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'Std-Erf'!D36</f>
        <v>0</v>
      </c>
      <c r="F23" s="59">
        <v>28.7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'Std-Erf'!E36</f>
        <v>0</v>
      </c>
      <c r="D24" s="67" t="s">
        <v>116</v>
      </c>
      <c r="E24" s="47">
        <f>C24/10</f>
        <v>0</v>
      </c>
      <c r="F24" s="59">
        <v>28.7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/>
      <c r="F25" s="59"/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/>
      <c r="F31" s="62"/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131</v>
      </c>
      <c r="F37" s="65"/>
      <c r="G37" s="59">
        <v>0</v>
      </c>
    </row>
    <row r="38" spans="1:7" ht="14.25" customHeight="1" x14ac:dyDescent="0.25">
      <c r="A38" t="s">
        <v>119</v>
      </c>
      <c r="E38" s="69">
        <f>(E23+E24)*1.0833</f>
        <v>0</v>
      </c>
      <c r="F38" s="72">
        <v>1.4999999999999999E-2</v>
      </c>
      <c r="G38" s="59">
        <f>PRODUCT(E38,F38)</f>
        <v>0</v>
      </c>
    </row>
    <row r="39" spans="1:7" s="34" customFormat="1" ht="14.25" customHeight="1" thickBot="1" x14ac:dyDescent="0.3">
      <c r="A39" s="58" t="s">
        <v>53</v>
      </c>
      <c r="B39" s="58"/>
      <c r="C39" s="58"/>
      <c r="D39" s="58"/>
      <c r="E39" s="58"/>
      <c r="F39" s="58"/>
      <c r="G39" s="63">
        <f>SUM(G32-(G34+G35+G36+G38+G37))</f>
        <v>0</v>
      </c>
    </row>
    <row r="40" spans="1:7" ht="6.75" customHeight="1" x14ac:dyDescent="0.25">
      <c r="E40" s="47"/>
      <c r="G40" s="59"/>
    </row>
    <row r="41" spans="1:7" ht="14.25" customHeight="1" x14ac:dyDescent="0.25">
      <c r="A41" t="s">
        <v>54</v>
      </c>
      <c r="G41" s="59">
        <f>'Std-Erf'!C36</f>
        <v>0</v>
      </c>
    </row>
    <row r="42" spans="1:7" ht="14.25" customHeight="1" x14ac:dyDescent="0.25">
      <c r="G42" s="59"/>
    </row>
    <row r="43" spans="1:7" s="34" customFormat="1" ht="24" customHeight="1" thickBot="1" x14ac:dyDescent="0.3">
      <c r="A43" s="58" t="s">
        <v>56</v>
      </c>
      <c r="B43" s="58"/>
      <c r="C43" s="58"/>
      <c r="D43" s="58"/>
      <c r="E43" s="58"/>
      <c r="F43" s="58"/>
      <c r="G43" s="63">
        <f>ROUND(SUM(G39:G42)*20,0)/20</f>
        <v>0</v>
      </c>
    </row>
    <row r="44" spans="1:7" ht="14.25" customHeight="1" x14ac:dyDescent="0.25"/>
    <row r="45" spans="1:7" ht="14.25" customHeight="1" x14ac:dyDescent="0.25"/>
    <row r="46" spans="1:7" ht="14.25" customHeight="1" x14ac:dyDescent="0.25">
      <c r="A46" t="s">
        <v>101</v>
      </c>
      <c r="B46" s="71" t="s">
        <v>275</v>
      </c>
      <c r="D46" t="s">
        <v>103</v>
      </c>
      <c r="F46" s="50"/>
    </row>
    <row r="47" spans="1:7" ht="14.25" customHeight="1" x14ac:dyDescent="0.25">
      <c r="A47" t="s">
        <v>102</v>
      </c>
      <c r="B47" s="50">
        <v>0</v>
      </c>
      <c r="D47" t="s">
        <v>109</v>
      </c>
      <c r="F47" s="71" t="s">
        <v>276</v>
      </c>
    </row>
    <row r="48" spans="1:7" ht="14.25" customHeight="1" x14ac:dyDescent="0.25"/>
    <row r="49" spans="1:4" ht="14.25" customHeight="1" x14ac:dyDescent="0.25">
      <c r="A49" t="s">
        <v>107</v>
      </c>
    </row>
    <row r="50" spans="1:4" ht="14.25" customHeight="1" x14ac:dyDescent="0.25">
      <c r="A50" t="s">
        <v>106</v>
      </c>
    </row>
    <row r="51" spans="1:4" ht="14.25" customHeight="1" x14ac:dyDescent="0.25"/>
    <row r="52" spans="1:4" ht="14.25" customHeight="1" x14ac:dyDescent="0.25">
      <c r="C52" t="s">
        <v>108</v>
      </c>
    </row>
    <row r="53" spans="1:4" ht="14.25" customHeight="1" x14ac:dyDescent="0.25"/>
    <row r="54" spans="1:4" ht="14.25" customHeight="1" x14ac:dyDescent="0.25">
      <c r="C54" s="34" t="s">
        <v>57</v>
      </c>
      <c r="D54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D658-12D3-452D-B175-27A37E7ACC5D}">
  <dimension ref="A1:G54"/>
  <sheetViews>
    <sheetView zoomScaleNormal="100" workbookViewId="0">
      <selection activeCell="A12" sqref="A12"/>
    </sheetView>
  </sheetViews>
  <sheetFormatPr baseColWidth="10" defaultColWidth="11.44140625" defaultRowHeight="18" customHeight="1" x14ac:dyDescent="0.25"/>
  <cols>
    <col min="1" max="1" width="21.6640625" customWidth="1"/>
    <col min="2" max="2" width="13.332031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60</v>
      </c>
    </row>
    <row r="8" spans="1:7" ht="15" customHeight="1" x14ac:dyDescent="0.25">
      <c r="B8" s="50"/>
      <c r="D8" t="s">
        <v>232</v>
      </c>
    </row>
    <row r="9" spans="1:7" ht="15" customHeight="1" x14ac:dyDescent="0.25">
      <c r="B9" s="50"/>
      <c r="D9" t="s">
        <v>233</v>
      </c>
    </row>
    <row r="10" spans="1:7" ht="15" customHeight="1" x14ac:dyDescent="0.25">
      <c r="B10" s="50"/>
      <c r="D10" t="s">
        <v>85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231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46</v>
      </c>
      <c r="D23" s="67" t="s">
        <v>116</v>
      </c>
      <c r="E23" s="47">
        <f>'Std-Erf'!D37</f>
        <v>0</v>
      </c>
      <c r="F23" s="59">
        <v>25.2</v>
      </c>
      <c r="G23" s="59">
        <f t="shared" ref="G23:G28" si="0">PRODUCT(E23:F23)</f>
        <v>0</v>
      </c>
    </row>
    <row r="24" spans="1:7" ht="14.25" customHeight="1" x14ac:dyDescent="0.25">
      <c r="A24" t="s">
        <v>114</v>
      </c>
      <c r="C24" s="68">
        <f>'Std-Erf'!E37</f>
        <v>0</v>
      </c>
      <c r="D24" s="67" t="s">
        <v>116</v>
      </c>
      <c r="E24" s="47">
        <f>C24/10</f>
        <v>0</v>
      </c>
      <c r="F24" s="59">
        <v>25.2</v>
      </c>
      <c r="G24" s="59">
        <f t="shared" si="0"/>
        <v>0</v>
      </c>
    </row>
    <row r="25" spans="1:7" ht="14.25" customHeight="1" x14ac:dyDescent="0.25">
      <c r="A25" t="s">
        <v>47</v>
      </c>
      <c r="D25" s="67"/>
      <c r="E25" s="47">
        <v>0</v>
      </c>
      <c r="F25" s="59">
        <v>0</v>
      </c>
      <c r="G25" s="59">
        <f t="shared" si="0"/>
        <v>0</v>
      </c>
    </row>
    <row r="26" spans="1:7" ht="14.25" customHeight="1" x14ac:dyDescent="0.25">
      <c r="A26" t="s">
        <v>104</v>
      </c>
      <c r="C26" t="s">
        <v>115</v>
      </c>
      <c r="D26" s="50">
        <v>1</v>
      </c>
      <c r="E26" s="47">
        <v>0</v>
      </c>
      <c r="F26" s="59">
        <v>5.6</v>
      </c>
      <c r="G26" s="59">
        <f t="shared" si="0"/>
        <v>0</v>
      </c>
    </row>
    <row r="27" spans="1:7" ht="14.25" customHeight="1" x14ac:dyDescent="0.25">
      <c r="A27" t="s">
        <v>104</v>
      </c>
      <c r="C27" t="s">
        <v>115</v>
      </c>
      <c r="D27" s="50">
        <v>2</v>
      </c>
      <c r="E27" s="47">
        <v>0</v>
      </c>
      <c r="F27" s="59">
        <v>16.8</v>
      </c>
      <c r="G27" s="59">
        <f t="shared" si="0"/>
        <v>0</v>
      </c>
    </row>
    <row r="28" spans="1:7" ht="14.25" customHeight="1" x14ac:dyDescent="0.25">
      <c r="A28" t="s">
        <v>104</v>
      </c>
      <c r="C28" t="s">
        <v>105</v>
      </c>
      <c r="E28" s="47">
        <v>0</v>
      </c>
      <c r="F28" s="59">
        <v>0.32</v>
      </c>
      <c r="G28" s="59">
        <f t="shared" si="0"/>
        <v>0</v>
      </c>
    </row>
    <row r="29" spans="1:7" ht="14.25" customHeight="1" x14ac:dyDescent="0.25">
      <c r="A29" s="58" t="s">
        <v>48</v>
      </c>
      <c r="B29" s="60"/>
      <c r="C29" s="60"/>
      <c r="D29" s="60"/>
      <c r="E29" s="60"/>
      <c r="F29" s="60"/>
      <c r="G29" s="61">
        <f>SUM(G23:G28)</f>
        <v>0</v>
      </c>
    </row>
    <row r="30" spans="1:7" ht="6.75" customHeight="1" x14ac:dyDescent="0.25">
      <c r="A30" s="34"/>
      <c r="G30" s="59"/>
    </row>
    <row r="31" spans="1:7" ht="14.25" customHeight="1" x14ac:dyDescent="0.25">
      <c r="A31" s="34" t="s">
        <v>49</v>
      </c>
      <c r="F31" s="62">
        <v>8.3299999999999999E-2</v>
      </c>
      <c r="G31" s="59">
        <f>PRODUCT(G29*F31)</f>
        <v>0</v>
      </c>
    </row>
    <row r="32" spans="1:7" ht="14.25" customHeight="1" thickBot="1" x14ac:dyDescent="0.3">
      <c r="A32" s="58" t="s">
        <v>50</v>
      </c>
      <c r="B32" s="60"/>
      <c r="C32" s="60"/>
      <c r="D32" s="60"/>
      <c r="E32" s="60"/>
      <c r="F32" s="60"/>
      <c r="G32" s="63">
        <f>SUM(G29+G31)</f>
        <v>0</v>
      </c>
    </row>
    <row r="33" spans="1:7" ht="6.75" customHeight="1" x14ac:dyDescent="0.25">
      <c r="A33" s="34"/>
      <c r="G33" s="59"/>
    </row>
    <row r="34" spans="1:7" ht="14.25" customHeight="1" x14ac:dyDescent="0.25">
      <c r="A34" t="s">
        <v>110</v>
      </c>
      <c r="F34" s="64">
        <v>5.2999999999999999E-2</v>
      </c>
      <c r="G34" s="59">
        <f>PRODUCT(G32*F34)</f>
        <v>0</v>
      </c>
    </row>
    <row r="35" spans="1:7" ht="14.25" customHeight="1" x14ac:dyDescent="0.25">
      <c r="A35" t="s">
        <v>51</v>
      </c>
      <c r="F35" s="62">
        <v>1.0999999999999999E-2</v>
      </c>
      <c r="G35" s="59">
        <f>PRODUCT(G32*F35)</f>
        <v>0</v>
      </c>
    </row>
    <row r="36" spans="1:7" ht="14.25" customHeight="1" x14ac:dyDescent="0.25">
      <c r="A36" t="s">
        <v>52</v>
      </c>
      <c r="F36" s="65">
        <v>8.2100000000000003E-3</v>
      </c>
      <c r="G36" s="59">
        <f>PRODUCT(G32*F36)</f>
        <v>0</v>
      </c>
    </row>
    <row r="37" spans="1:7" ht="14.25" customHeight="1" x14ac:dyDescent="0.25">
      <c r="A37" t="s">
        <v>131</v>
      </c>
      <c r="F37" s="65"/>
      <c r="G37" s="59">
        <v>125.25</v>
      </c>
    </row>
    <row r="38" spans="1:7" ht="14.25" customHeight="1" x14ac:dyDescent="0.25">
      <c r="A38" t="s">
        <v>119</v>
      </c>
      <c r="E38" s="69">
        <f>(E23+E24)*1.0833</f>
        <v>0</v>
      </c>
      <c r="F38" s="72">
        <v>1.4999999999999999E-2</v>
      </c>
      <c r="G38" s="59">
        <f>PRODUCT(E38,F38)</f>
        <v>0</v>
      </c>
    </row>
    <row r="39" spans="1:7" s="34" customFormat="1" ht="14.25" customHeight="1" thickBot="1" x14ac:dyDescent="0.3">
      <c r="A39" s="58" t="s">
        <v>53</v>
      </c>
      <c r="B39" s="58"/>
      <c r="C39" s="58"/>
      <c r="D39" s="58"/>
      <c r="E39" s="58"/>
      <c r="F39" s="58"/>
      <c r="G39" s="63">
        <f>SUM(G32-(G34+G35+G36+G38+G37))</f>
        <v>-125.25</v>
      </c>
    </row>
    <row r="40" spans="1:7" ht="6.75" customHeight="1" x14ac:dyDescent="0.25">
      <c r="E40" s="47"/>
      <c r="G40" s="59"/>
    </row>
    <row r="41" spans="1:7" ht="14.25" customHeight="1" x14ac:dyDescent="0.25">
      <c r="A41" t="s">
        <v>54</v>
      </c>
      <c r="G41" s="59">
        <f>'Std-Erf'!C37</f>
        <v>0</v>
      </c>
    </row>
    <row r="42" spans="1:7" ht="14.25" customHeight="1" x14ac:dyDescent="0.25">
      <c r="G42" s="59"/>
    </row>
    <row r="43" spans="1:7" s="34" customFormat="1" ht="24" customHeight="1" thickBot="1" x14ac:dyDescent="0.3">
      <c r="A43" s="58" t="s">
        <v>56</v>
      </c>
      <c r="B43" s="58"/>
      <c r="C43" s="58"/>
      <c r="D43" s="58"/>
      <c r="E43" s="58"/>
      <c r="F43" s="58"/>
      <c r="G43" s="63">
        <f>ROUND(SUM(G39:G41)*20,0)/20</f>
        <v>-125.25</v>
      </c>
    </row>
    <row r="44" spans="1:7" ht="14.25" customHeight="1" x14ac:dyDescent="0.25"/>
    <row r="45" spans="1:7" ht="14.25" customHeight="1" x14ac:dyDescent="0.25"/>
    <row r="46" spans="1:7" ht="14.25" customHeight="1" x14ac:dyDescent="0.25">
      <c r="A46" t="s">
        <v>101</v>
      </c>
      <c r="B46" s="50">
        <v>0</v>
      </c>
      <c r="D46" t="s">
        <v>103</v>
      </c>
      <c r="F46" s="50">
        <v>0</v>
      </c>
    </row>
    <row r="47" spans="1:7" ht="14.25" customHeight="1" x14ac:dyDescent="0.25">
      <c r="A47" t="s">
        <v>102</v>
      </c>
      <c r="B47" s="50">
        <v>0</v>
      </c>
      <c r="D47" t="s">
        <v>109</v>
      </c>
      <c r="F47" s="50">
        <v>0</v>
      </c>
    </row>
    <row r="48" spans="1:7" ht="14.25" customHeight="1" x14ac:dyDescent="0.25"/>
    <row r="49" spans="1:4" ht="14.25" customHeight="1" x14ac:dyDescent="0.25">
      <c r="A49" t="s">
        <v>107</v>
      </c>
    </row>
    <row r="50" spans="1:4" ht="14.25" customHeight="1" x14ac:dyDescent="0.25">
      <c r="A50" t="s">
        <v>106</v>
      </c>
    </row>
    <row r="51" spans="1:4" ht="14.25" customHeight="1" x14ac:dyDescent="0.25"/>
    <row r="52" spans="1:4" ht="14.25" customHeight="1" x14ac:dyDescent="0.25">
      <c r="C52" t="s">
        <v>108</v>
      </c>
    </row>
    <row r="53" spans="1:4" ht="14.25" customHeight="1" x14ac:dyDescent="0.25"/>
    <row r="54" spans="1:4" ht="14.25" customHeight="1" x14ac:dyDescent="0.25">
      <c r="C54" s="34" t="s">
        <v>57</v>
      </c>
      <c r="D54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F7F7-50A0-4877-BA72-A3DA324B1978}">
  <dimension ref="A1:G49"/>
  <sheetViews>
    <sheetView zoomScaleNormal="100" workbookViewId="0">
      <selection activeCell="B18" sqref="B18"/>
    </sheetView>
  </sheetViews>
  <sheetFormatPr baseColWidth="10" defaultColWidth="11.44140625" defaultRowHeight="18" customHeight="1" x14ac:dyDescent="0.25"/>
  <cols>
    <col min="1" max="1" width="21.6640625" customWidth="1"/>
    <col min="2" max="2" width="17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60</v>
      </c>
    </row>
    <row r="8" spans="1:7" ht="15" customHeight="1" x14ac:dyDescent="0.25">
      <c r="B8" s="50"/>
      <c r="D8" t="s">
        <v>232</v>
      </c>
    </row>
    <row r="9" spans="1:7" ht="15" customHeight="1" x14ac:dyDescent="0.25">
      <c r="B9" s="50"/>
      <c r="D9" t="s">
        <v>233</v>
      </c>
    </row>
    <row r="10" spans="1:7" ht="15" customHeight="1" x14ac:dyDescent="0.25">
      <c r="B10" s="50"/>
      <c r="D10" t="s">
        <v>85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231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v>46032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157</v>
      </c>
      <c r="B19" s="34"/>
      <c r="C19" s="55"/>
      <c r="D19" s="34" t="s">
        <v>100</v>
      </c>
      <c r="F19" s="50">
        <v>1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D23" s="67"/>
      <c r="E23" s="47"/>
      <c r="F23" s="59"/>
      <c r="G23" s="59"/>
    </row>
    <row r="24" spans="1:7" ht="14.25" customHeight="1" x14ac:dyDescent="0.25">
      <c r="A24" t="s">
        <v>268</v>
      </c>
      <c r="C24" s="68"/>
      <c r="D24" s="67"/>
      <c r="E24" s="47">
        <v>20</v>
      </c>
      <c r="F24" s="59">
        <v>59.88</v>
      </c>
      <c r="G24" s="59">
        <f>E24*F24</f>
        <v>1197.6000000000001</v>
      </c>
    </row>
    <row r="25" spans="1:7" ht="14.25" customHeight="1" x14ac:dyDescent="0.25">
      <c r="A25" s="58" t="s">
        <v>48</v>
      </c>
      <c r="B25" s="60"/>
      <c r="C25" s="60"/>
      <c r="D25" s="60"/>
      <c r="E25" s="60"/>
      <c r="F25" s="60"/>
      <c r="G25" s="61">
        <f>SUM(G23:G24)</f>
        <v>1197.6000000000001</v>
      </c>
    </row>
    <row r="26" spans="1:7" ht="6.75" customHeight="1" x14ac:dyDescent="0.25">
      <c r="A26" s="34"/>
      <c r="G26" s="59"/>
    </row>
    <row r="27" spans="1:7" ht="14.25" customHeight="1" x14ac:dyDescent="0.25">
      <c r="A27" s="34" t="s">
        <v>49</v>
      </c>
      <c r="F27" s="62">
        <v>0</v>
      </c>
      <c r="G27" s="59">
        <f>PRODUCT(G25*F27)</f>
        <v>0</v>
      </c>
    </row>
    <row r="28" spans="1:7" ht="14.25" customHeight="1" thickBot="1" x14ac:dyDescent="0.3">
      <c r="A28" s="58" t="s">
        <v>50</v>
      </c>
      <c r="B28" s="60"/>
      <c r="C28" s="60"/>
      <c r="D28" s="60"/>
      <c r="E28" s="60"/>
      <c r="F28" s="60"/>
      <c r="G28" s="63">
        <f>SUM(G25+G27)</f>
        <v>1197.6000000000001</v>
      </c>
    </row>
    <row r="29" spans="1:7" ht="6.75" customHeight="1" x14ac:dyDescent="0.25">
      <c r="A29" s="34"/>
      <c r="G29" s="59"/>
    </row>
    <row r="30" spans="1:7" ht="14.25" customHeight="1" x14ac:dyDescent="0.25">
      <c r="A30" t="s">
        <v>110</v>
      </c>
      <c r="F30" s="64">
        <v>5.2999999999999999E-2</v>
      </c>
      <c r="G30" s="59">
        <v>0</v>
      </c>
    </row>
    <row r="31" spans="1:7" ht="14.25" customHeight="1" x14ac:dyDescent="0.25">
      <c r="A31" t="s">
        <v>51</v>
      </c>
      <c r="F31" s="62">
        <v>1.0999999999999999E-2</v>
      </c>
      <c r="G31" s="59">
        <v>0</v>
      </c>
    </row>
    <row r="32" spans="1:7" ht="14.25" customHeight="1" x14ac:dyDescent="0.25">
      <c r="A32" t="s">
        <v>52</v>
      </c>
      <c r="C32" t="s">
        <v>196</v>
      </c>
      <c r="E32" t="s">
        <v>197</v>
      </c>
      <c r="F32" s="65">
        <v>1.1225000000000001E-2</v>
      </c>
      <c r="G32" s="59">
        <v>0</v>
      </c>
    </row>
    <row r="33" spans="1:7" ht="14.25" customHeight="1" x14ac:dyDescent="0.25">
      <c r="A33" t="s">
        <v>119</v>
      </c>
      <c r="E33" s="69">
        <f>(E23+E24)*1.0833</f>
        <v>21.665999999999997</v>
      </c>
      <c r="F33" s="72">
        <v>1.4999999999999999E-2</v>
      </c>
      <c r="G33" s="59"/>
    </row>
    <row r="34" spans="1:7" s="34" customFormat="1" ht="14.25" customHeight="1" thickBot="1" x14ac:dyDescent="0.3">
      <c r="A34" s="58" t="s">
        <v>53</v>
      </c>
      <c r="B34" s="58"/>
      <c r="C34" s="58"/>
      <c r="D34" s="58"/>
      <c r="E34" s="58"/>
      <c r="F34" s="58"/>
      <c r="G34" s="63">
        <f>SUM(G28-(G30+G31+G32+G33))</f>
        <v>1197.6000000000001</v>
      </c>
    </row>
    <row r="35" spans="1:7" ht="6.75" customHeight="1" x14ac:dyDescent="0.25">
      <c r="E35" s="47"/>
      <c r="G35" s="59"/>
    </row>
    <row r="36" spans="1:7" ht="14.25" customHeight="1" x14ac:dyDescent="0.25">
      <c r="A36" t="s">
        <v>269</v>
      </c>
      <c r="G36" s="59">
        <v>0.4</v>
      </c>
    </row>
    <row r="37" spans="1:7" ht="14.25" customHeight="1" x14ac:dyDescent="0.25">
      <c r="G37" s="59"/>
    </row>
    <row r="38" spans="1:7" s="34" customFormat="1" ht="24" customHeight="1" thickBot="1" x14ac:dyDescent="0.3">
      <c r="A38" s="58" t="s">
        <v>56</v>
      </c>
      <c r="B38" s="58"/>
      <c r="C38" s="58"/>
      <c r="D38" s="58"/>
      <c r="E38" s="58"/>
      <c r="F38" s="58"/>
      <c r="G38" s="63">
        <f>ROUND(SUM(G34:G36)*20,0)/20</f>
        <v>1198</v>
      </c>
    </row>
    <row r="39" spans="1:7" ht="14.25" customHeight="1" x14ac:dyDescent="0.25"/>
    <row r="40" spans="1:7" ht="14.25" customHeight="1" x14ac:dyDescent="0.25"/>
    <row r="41" spans="1:7" ht="14.25" customHeight="1" x14ac:dyDescent="0.25">
      <c r="A41" t="s">
        <v>101</v>
      </c>
      <c r="B41" s="50">
        <v>0</v>
      </c>
      <c r="D41" t="s">
        <v>103</v>
      </c>
      <c r="F41" s="50">
        <v>0</v>
      </c>
    </row>
    <row r="42" spans="1:7" ht="14.25" customHeight="1" x14ac:dyDescent="0.25">
      <c r="A42" t="s">
        <v>102</v>
      </c>
      <c r="B42" s="50">
        <v>0</v>
      </c>
      <c r="D42" t="s">
        <v>109</v>
      </c>
      <c r="F42" s="50">
        <v>0</v>
      </c>
    </row>
    <row r="43" spans="1:7" ht="14.25" customHeight="1" x14ac:dyDescent="0.25"/>
    <row r="44" spans="1:7" ht="14.25" customHeight="1" x14ac:dyDescent="0.25">
      <c r="A44" t="s">
        <v>107</v>
      </c>
    </row>
    <row r="45" spans="1:7" ht="14.25" customHeight="1" x14ac:dyDescent="0.25">
      <c r="A45" t="s">
        <v>106</v>
      </c>
    </row>
    <row r="46" spans="1:7" ht="14.25" customHeight="1" x14ac:dyDescent="0.25"/>
    <row r="47" spans="1:7" ht="14.25" customHeight="1" x14ac:dyDescent="0.25">
      <c r="C47" t="s">
        <v>108</v>
      </c>
    </row>
    <row r="48" spans="1:7" ht="14.25" customHeight="1" x14ac:dyDescent="0.25"/>
    <row r="49" spans="3:4" ht="14.25" customHeight="1" x14ac:dyDescent="0.25">
      <c r="C49" s="34" t="s">
        <v>57</v>
      </c>
      <c r="D49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25AD-0E53-4279-B837-5B4CDAC17EA3}">
  <dimension ref="A1:G49"/>
  <sheetViews>
    <sheetView zoomScaleNormal="100" workbookViewId="0">
      <selection activeCell="A23" sqref="A23"/>
    </sheetView>
  </sheetViews>
  <sheetFormatPr baseColWidth="10" defaultColWidth="11.44140625" defaultRowHeight="18" customHeight="1" x14ac:dyDescent="0.25"/>
  <cols>
    <col min="1" max="1" width="21.6640625" customWidth="1"/>
    <col min="2" max="2" width="17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37</v>
      </c>
    </row>
    <row r="8" spans="1:7" ht="15" customHeight="1" x14ac:dyDescent="0.25">
      <c r="B8" s="50"/>
      <c r="D8" t="s">
        <v>139</v>
      </c>
    </row>
    <row r="9" spans="1:7" ht="15" customHeight="1" x14ac:dyDescent="0.25">
      <c r="B9" s="50"/>
      <c r="D9" t="s">
        <v>142</v>
      </c>
    </row>
    <row r="10" spans="1:7" ht="15" customHeight="1" x14ac:dyDescent="0.25">
      <c r="B10" s="50"/>
      <c r="D10" t="s">
        <v>143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140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">
        <v>222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v>45447</v>
      </c>
      <c r="D18" s="34" t="s">
        <v>98</v>
      </c>
      <c r="E18" s="34"/>
      <c r="F18" s="50" t="s">
        <v>178</v>
      </c>
    </row>
    <row r="19" spans="1:7" ht="14.25" customHeight="1" x14ac:dyDescent="0.25">
      <c r="A19" s="34" t="s">
        <v>223</v>
      </c>
      <c r="B19" s="34"/>
      <c r="C19" s="55"/>
      <c r="D19" s="34" t="s">
        <v>100</v>
      </c>
      <c r="F19" s="50">
        <v>8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224</v>
      </c>
      <c r="D23" s="67"/>
      <c r="E23" s="47"/>
      <c r="F23" s="59"/>
      <c r="G23" s="59">
        <v>930</v>
      </c>
    </row>
    <row r="24" spans="1:7" ht="14.25" customHeight="1" x14ac:dyDescent="0.25">
      <c r="E24" s="47"/>
      <c r="F24" s="59"/>
      <c r="G24" s="59">
        <f>PRODUCT(E24:F24)</f>
        <v>0</v>
      </c>
    </row>
    <row r="25" spans="1:7" ht="14.25" customHeight="1" x14ac:dyDescent="0.25">
      <c r="A25" s="58" t="s">
        <v>48</v>
      </c>
      <c r="B25" s="60"/>
      <c r="C25" s="60"/>
      <c r="D25" s="60"/>
      <c r="E25" s="60"/>
      <c r="F25" s="60"/>
      <c r="G25" s="61">
        <f>SUM(G23:G24)</f>
        <v>930</v>
      </c>
    </row>
    <row r="26" spans="1:7" ht="6.75" customHeight="1" x14ac:dyDescent="0.25">
      <c r="A26" s="34"/>
      <c r="G26" s="59"/>
    </row>
    <row r="27" spans="1:7" ht="14.25" customHeight="1" x14ac:dyDescent="0.25">
      <c r="A27" s="34" t="s">
        <v>49</v>
      </c>
      <c r="B27" t="s">
        <v>225</v>
      </c>
      <c r="F27" s="62">
        <v>0.10639999999999999</v>
      </c>
      <c r="G27" s="59">
        <v>0</v>
      </c>
    </row>
    <row r="28" spans="1:7" ht="14.25" customHeight="1" thickBot="1" x14ac:dyDescent="0.3">
      <c r="A28" s="58" t="s">
        <v>50</v>
      </c>
      <c r="B28" s="60"/>
      <c r="C28" s="60"/>
      <c r="D28" s="60"/>
      <c r="E28" s="60"/>
      <c r="F28" s="60"/>
      <c r="G28" s="63">
        <f>SUM(G25+G27)</f>
        <v>930</v>
      </c>
    </row>
    <row r="29" spans="1:7" ht="6.75" customHeight="1" x14ac:dyDescent="0.25">
      <c r="A29" s="34"/>
      <c r="G29" s="59"/>
    </row>
    <row r="30" spans="1:7" ht="14.25" customHeight="1" x14ac:dyDescent="0.25">
      <c r="A30" t="s">
        <v>110</v>
      </c>
      <c r="F30" s="64">
        <v>5.2999999999999999E-2</v>
      </c>
      <c r="G30" s="59">
        <v>0</v>
      </c>
    </row>
    <row r="31" spans="1:7" ht="14.25" customHeight="1" x14ac:dyDescent="0.25">
      <c r="A31" t="s">
        <v>51</v>
      </c>
      <c r="F31" s="62">
        <v>1.0999999999999999E-2</v>
      </c>
      <c r="G31" s="59">
        <v>0</v>
      </c>
    </row>
    <row r="32" spans="1:7" ht="14.25" customHeight="1" x14ac:dyDescent="0.25">
      <c r="A32" t="s">
        <v>52</v>
      </c>
      <c r="C32" t="s">
        <v>227</v>
      </c>
      <c r="E32" t="s">
        <v>228</v>
      </c>
      <c r="F32" s="65">
        <v>0</v>
      </c>
      <c r="G32" s="59">
        <v>0</v>
      </c>
    </row>
    <row r="33" spans="1:7" ht="14.25" customHeight="1" x14ac:dyDescent="0.25">
      <c r="A33" t="s">
        <v>119</v>
      </c>
      <c r="E33" s="69"/>
      <c r="F33" s="72"/>
      <c r="G33" s="59"/>
    </row>
    <row r="34" spans="1:7" s="34" customFormat="1" ht="14.25" customHeight="1" thickBot="1" x14ac:dyDescent="0.3">
      <c r="A34" s="58" t="s">
        <v>53</v>
      </c>
      <c r="B34" s="58"/>
      <c r="C34" s="58"/>
      <c r="D34" s="58"/>
      <c r="E34" s="58"/>
      <c r="F34" s="58"/>
      <c r="G34" s="63">
        <f>SUM(G28-(G30+G31+G32+G33))</f>
        <v>930</v>
      </c>
    </row>
    <row r="35" spans="1:7" ht="6.75" customHeight="1" x14ac:dyDescent="0.25">
      <c r="E35" s="47"/>
      <c r="G35" s="59"/>
    </row>
    <row r="36" spans="1:7" ht="14.25" customHeight="1" x14ac:dyDescent="0.25">
      <c r="A36" t="s">
        <v>226</v>
      </c>
      <c r="G36" s="59">
        <v>-800</v>
      </c>
    </row>
    <row r="37" spans="1:7" ht="14.25" customHeight="1" x14ac:dyDescent="0.25">
      <c r="G37" s="59"/>
    </row>
    <row r="38" spans="1:7" s="34" customFormat="1" ht="24" customHeight="1" thickBot="1" x14ac:dyDescent="0.3">
      <c r="A38" s="58" t="s">
        <v>56</v>
      </c>
      <c r="B38" s="58"/>
      <c r="C38" s="58"/>
      <c r="D38" s="58"/>
      <c r="E38" s="58"/>
      <c r="F38" s="58"/>
      <c r="G38" s="63">
        <f>ROUND(SUM(G34:G36)*20,0)/20</f>
        <v>130</v>
      </c>
    </row>
    <row r="39" spans="1:7" ht="14.25" customHeight="1" x14ac:dyDescent="0.25"/>
    <row r="40" spans="1:7" ht="14.25" customHeight="1" x14ac:dyDescent="0.25"/>
    <row r="41" spans="1:7" ht="14.25" customHeight="1" x14ac:dyDescent="0.25">
      <c r="A41" t="s">
        <v>101</v>
      </c>
      <c r="B41" s="50">
        <v>0</v>
      </c>
      <c r="D41" t="s">
        <v>103</v>
      </c>
      <c r="F41" s="50">
        <v>0</v>
      </c>
    </row>
    <row r="42" spans="1:7" ht="14.25" customHeight="1" x14ac:dyDescent="0.25">
      <c r="A42" t="s">
        <v>102</v>
      </c>
      <c r="B42" s="50">
        <v>0</v>
      </c>
      <c r="D42" t="s">
        <v>109</v>
      </c>
      <c r="F42" s="50">
        <v>0</v>
      </c>
    </row>
    <row r="43" spans="1:7" ht="14.25" customHeight="1" x14ac:dyDescent="0.25"/>
    <row r="44" spans="1:7" ht="14.25" customHeight="1" x14ac:dyDescent="0.25">
      <c r="A44" t="s">
        <v>107</v>
      </c>
    </row>
    <row r="45" spans="1:7" ht="14.25" customHeight="1" x14ac:dyDescent="0.25">
      <c r="A45" t="s">
        <v>106</v>
      </c>
    </row>
    <row r="46" spans="1:7" ht="14.25" customHeight="1" x14ac:dyDescent="0.25"/>
    <row r="47" spans="1:7" ht="14.25" customHeight="1" x14ac:dyDescent="0.25">
      <c r="C47" t="s">
        <v>108</v>
      </c>
    </row>
    <row r="48" spans="1:7" ht="14.25" customHeight="1" x14ac:dyDescent="0.25"/>
    <row r="49" spans="3:4" ht="14.25" customHeight="1" x14ac:dyDescent="0.25">
      <c r="C49" s="34" t="s">
        <v>57</v>
      </c>
      <c r="D49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51"/>
  <sheetViews>
    <sheetView zoomScaleNormal="100" workbookViewId="0">
      <selection activeCell="F32" sqref="F32"/>
    </sheetView>
  </sheetViews>
  <sheetFormatPr baseColWidth="10" defaultColWidth="11.44140625" defaultRowHeight="18" customHeight="1" x14ac:dyDescent="0.25"/>
  <cols>
    <col min="1" max="1" width="21.6640625" customWidth="1"/>
    <col min="2" max="2" width="17.6640625" customWidth="1"/>
    <col min="3" max="3" width="12.44140625" customWidth="1"/>
    <col min="4" max="4" width="9" customWidth="1"/>
    <col min="5" max="6" width="11.6640625" customWidth="1"/>
    <col min="7" max="7" width="13.44140625" customWidth="1"/>
    <col min="8" max="8" width="1.5546875" customWidth="1"/>
  </cols>
  <sheetData>
    <row r="1" spans="1:7" ht="15" customHeight="1" x14ac:dyDescent="0.25">
      <c r="A1" s="34" t="s">
        <v>31</v>
      </c>
      <c r="B1" s="49"/>
      <c r="E1" s="49"/>
    </row>
    <row r="2" spans="1:7" ht="15" customHeight="1" x14ac:dyDescent="0.25">
      <c r="A2" t="s">
        <v>32</v>
      </c>
      <c r="B2" s="49"/>
      <c r="E2" s="49"/>
    </row>
    <row r="3" spans="1:7" ht="15" customHeight="1" x14ac:dyDescent="0.25">
      <c r="A3" t="s">
        <v>33</v>
      </c>
      <c r="B3" s="50"/>
      <c r="C3" s="50"/>
      <c r="D3" s="50"/>
      <c r="E3" s="50"/>
    </row>
    <row r="4" spans="1:7" ht="15" customHeight="1" x14ac:dyDescent="0.25">
      <c r="A4" t="s">
        <v>34</v>
      </c>
      <c r="B4" s="50"/>
    </row>
    <row r="5" spans="1:7" ht="15" customHeight="1" x14ac:dyDescent="0.25">
      <c r="A5" t="s">
        <v>35</v>
      </c>
      <c r="B5" s="50"/>
      <c r="C5" s="50"/>
      <c r="D5" s="50"/>
    </row>
    <row r="6" spans="1:7" ht="15" customHeight="1" x14ac:dyDescent="0.25">
      <c r="B6" s="50"/>
    </row>
    <row r="7" spans="1:7" ht="15" customHeight="1" x14ac:dyDescent="0.25">
      <c r="B7" s="50"/>
      <c r="D7" t="s">
        <v>60</v>
      </c>
    </row>
    <row r="8" spans="1:7" ht="15" customHeight="1" x14ac:dyDescent="0.25">
      <c r="B8" s="50"/>
      <c r="D8" t="s">
        <v>90</v>
      </c>
    </row>
    <row r="9" spans="1:7" ht="15" customHeight="1" x14ac:dyDescent="0.25">
      <c r="B9" s="50"/>
      <c r="D9" t="s">
        <v>135</v>
      </c>
    </row>
    <row r="10" spans="1:7" ht="15" customHeight="1" x14ac:dyDescent="0.25">
      <c r="B10" s="50"/>
      <c r="D10" t="s">
        <v>136</v>
      </c>
    </row>
    <row r="11" spans="1:7" ht="15" customHeight="1" x14ac:dyDescent="0.25">
      <c r="B11" s="50"/>
      <c r="C11" s="50"/>
      <c r="D11" s="50"/>
      <c r="E11" s="50"/>
    </row>
    <row r="12" spans="1:7" ht="15" customHeight="1" x14ac:dyDescent="0.25">
      <c r="A12" t="s">
        <v>130</v>
      </c>
      <c r="B12" s="50"/>
      <c r="C12" s="50"/>
      <c r="D12" s="50"/>
      <c r="E12" s="50"/>
    </row>
    <row r="13" spans="1:7" ht="15" customHeight="1" x14ac:dyDescent="0.25">
      <c r="A13" s="50"/>
      <c r="B13" s="50"/>
      <c r="C13" s="50"/>
      <c r="D13" s="50"/>
      <c r="E13" s="50"/>
    </row>
    <row r="14" spans="1:7" ht="16.5" customHeight="1" x14ac:dyDescent="0.25">
      <c r="A14" s="56" t="s">
        <v>38</v>
      </c>
      <c r="B14" s="57" t="str">
        <f>'Std-Erf'!B1</f>
        <v>März 2026</v>
      </c>
      <c r="C14" s="52"/>
      <c r="D14" s="52"/>
      <c r="E14" s="52"/>
      <c r="F14" s="52"/>
      <c r="G14" s="53"/>
    </row>
    <row r="15" spans="1:7" ht="14.25" customHeight="1" x14ac:dyDescent="0.25"/>
    <row r="16" spans="1:7" ht="14.25" customHeight="1" x14ac:dyDescent="0.25">
      <c r="A16" s="34" t="s">
        <v>39</v>
      </c>
      <c r="B16" t="s">
        <v>40</v>
      </c>
      <c r="D16" s="34" t="s">
        <v>96</v>
      </c>
      <c r="E16" s="51"/>
      <c r="F16" s="50" t="s">
        <v>97</v>
      </c>
      <c r="G16" s="51"/>
    </row>
    <row r="17" spans="1:7" ht="6.75" customHeight="1" x14ac:dyDescent="0.25">
      <c r="D17" s="34"/>
      <c r="F17" s="50"/>
    </row>
    <row r="18" spans="1:7" ht="14.25" customHeight="1" x14ac:dyDescent="0.25">
      <c r="A18" s="34" t="s">
        <v>41</v>
      </c>
      <c r="B18" s="54">
        <f>'Std-Erf'!F1</f>
        <v>46122</v>
      </c>
      <c r="D18" s="34" t="s">
        <v>98</v>
      </c>
      <c r="E18" s="34"/>
      <c r="F18" s="50" t="s">
        <v>112</v>
      </c>
    </row>
    <row r="19" spans="1:7" ht="14.25" customHeight="1" x14ac:dyDescent="0.25">
      <c r="A19" s="34" t="s">
        <v>113</v>
      </c>
      <c r="B19" s="34" t="str">
        <f>'Std-Erf'!B1</f>
        <v>März 2026</v>
      </c>
      <c r="C19" s="55" t="e">
        <f>'Std-Erf'!#REF!</f>
        <v>#REF!</v>
      </c>
      <c r="D19" s="34" t="s">
        <v>100</v>
      </c>
      <c r="F19" s="50">
        <v>5</v>
      </c>
    </row>
    <row r="20" spans="1:7" ht="14.25" customHeight="1" x14ac:dyDescent="0.25"/>
    <row r="21" spans="1:7" ht="14.25" customHeight="1" x14ac:dyDescent="0.25">
      <c r="A21" s="80" t="s">
        <v>43</v>
      </c>
      <c r="B21" s="80"/>
      <c r="C21" s="80"/>
      <c r="D21" s="66"/>
      <c r="E21" s="58" t="s">
        <v>44</v>
      </c>
      <c r="F21" s="58" t="s">
        <v>45</v>
      </c>
      <c r="G21" s="58" t="s">
        <v>5</v>
      </c>
    </row>
    <row r="22" spans="1:7" ht="6.75" customHeight="1" x14ac:dyDescent="0.25"/>
    <row r="23" spans="1:7" ht="14.25" customHeight="1" x14ac:dyDescent="0.25">
      <c r="A23" t="s">
        <v>150</v>
      </c>
      <c r="D23" s="67" t="s">
        <v>145</v>
      </c>
      <c r="E23" s="47">
        <v>18</v>
      </c>
      <c r="F23" s="59">
        <v>91.58</v>
      </c>
      <c r="G23" s="59">
        <f>PRODUCT(E23:F23)</f>
        <v>1648.44</v>
      </c>
    </row>
    <row r="24" spans="1:7" ht="14.25" customHeight="1" x14ac:dyDescent="0.25">
      <c r="A24" t="s">
        <v>149</v>
      </c>
      <c r="D24" s="67"/>
      <c r="E24" s="47"/>
      <c r="F24" s="59"/>
      <c r="G24" s="59"/>
    </row>
    <row r="25" spans="1:7" s="34" customFormat="1" ht="14.25" customHeight="1" x14ac:dyDescent="0.25">
      <c r="A25" s="34" t="s">
        <v>147</v>
      </c>
      <c r="C25" s="73"/>
      <c r="D25" s="74" t="s">
        <v>146</v>
      </c>
      <c r="E25" s="75">
        <f>G23</f>
        <v>1648.44</v>
      </c>
      <c r="F25" s="76">
        <v>0.8</v>
      </c>
      <c r="G25" s="77">
        <f>E25*F25</f>
        <v>1318.7520000000002</v>
      </c>
    </row>
    <row r="26" spans="1:7" ht="14.25" customHeight="1" x14ac:dyDescent="0.25">
      <c r="E26" s="47"/>
      <c r="F26" s="59"/>
      <c r="G26" s="59">
        <f>PRODUCT(E26:F26)</f>
        <v>0</v>
      </c>
    </row>
    <row r="27" spans="1:7" ht="14.25" customHeight="1" x14ac:dyDescent="0.25">
      <c r="A27" s="58" t="s">
        <v>48</v>
      </c>
      <c r="B27" s="60"/>
      <c r="C27" s="60"/>
      <c r="D27" s="60"/>
      <c r="E27" s="60"/>
      <c r="F27" s="60"/>
      <c r="G27" s="61">
        <f>G25</f>
        <v>1318.7520000000002</v>
      </c>
    </row>
    <row r="28" spans="1:7" ht="6.75" customHeight="1" x14ac:dyDescent="0.25">
      <c r="A28" s="34"/>
      <c r="G28" s="59"/>
    </row>
    <row r="29" spans="1:7" ht="14.25" customHeight="1" x14ac:dyDescent="0.25">
      <c r="A29" s="34" t="s">
        <v>49</v>
      </c>
      <c r="B29" t="s">
        <v>148</v>
      </c>
      <c r="F29" s="62">
        <v>0.10639999999999999</v>
      </c>
      <c r="G29" s="59">
        <v>0</v>
      </c>
    </row>
    <row r="30" spans="1:7" ht="14.25" customHeight="1" thickBot="1" x14ac:dyDescent="0.3">
      <c r="A30" s="58" t="s">
        <v>50</v>
      </c>
      <c r="B30" s="60"/>
      <c r="C30" s="60"/>
      <c r="D30" s="60"/>
      <c r="E30" s="60"/>
      <c r="F30" s="60"/>
      <c r="G30" s="63">
        <f>SUM(G27+G29)</f>
        <v>1318.7520000000002</v>
      </c>
    </row>
    <row r="31" spans="1:7" ht="6.75" customHeight="1" x14ac:dyDescent="0.25">
      <c r="A31" s="34"/>
      <c r="G31" s="59"/>
    </row>
    <row r="32" spans="1:7" ht="14.25" customHeight="1" x14ac:dyDescent="0.25">
      <c r="A32" t="s">
        <v>110</v>
      </c>
      <c r="F32" s="64">
        <v>5.2999999999999999E-2</v>
      </c>
      <c r="G32" s="59">
        <f>PRODUCT(G30*F32)</f>
        <v>69.893856000000014</v>
      </c>
    </row>
    <row r="33" spans="1:7" ht="14.25" customHeight="1" x14ac:dyDescent="0.25">
      <c r="A33" t="s">
        <v>51</v>
      </c>
      <c r="F33" s="62">
        <v>1.0999999999999999E-2</v>
      </c>
      <c r="G33" s="59">
        <f>PRODUCT(G30*F33)</f>
        <v>14.506272000000001</v>
      </c>
    </row>
    <row r="34" spans="1:7" ht="14.25" customHeight="1" x14ac:dyDescent="0.25">
      <c r="A34" t="s">
        <v>52</v>
      </c>
      <c r="C34" t="s">
        <v>92</v>
      </c>
      <c r="E34" t="s">
        <v>93</v>
      </c>
      <c r="F34" s="65">
        <v>8.7749999999999998E-3</v>
      </c>
      <c r="G34" s="59">
        <f>PRODUCT(G30*F34)</f>
        <v>11.572048800000001</v>
      </c>
    </row>
    <row r="35" spans="1:7" ht="14.25" customHeight="1" x14ac:dyDescent="0.25">
      <c r="A35" t="s">
        <v>119</v>
      </c>
      <c r="E35" s="69"/>
      <c r="F35" s="72"/>
      <c r="G35" s="59"/>
    </row>
    <row r="36" spans="1:7" s="34" customFormat="1" ht="14.25" customHeight="1" thickBot="1" x14ac:dyDescent="0.3">
      <c r="A36" s="58" t="s">
        <v>53</v>
      </c>
      <c r="B36" s="58"/>
      <c r="C36" s="58"/>
      <c r="D36" s="58"/>
      <c r="E36" s="58"/>
      <c r="F36" s="58"/>
      <c r="G36" s="63">
        <f>SUM(G30-(G32+G33+G34+G35))</f>
        <v>1222.7798232000002</v>
      </c>
    </row>
    <row r="37" spans="1:7" ht="6.75" customHeight="1" x14ac:dyDescent="0.25">
      <c r="E37" s="47"/>
      <c r="G37" s="59"/>
    </row>
    <row r="38" spans="1:7" ht="14.25" customHeight="1" x14ac:dyDescent="0.25">
      <c r="A38" t="s">
        <v>54</v>
      </c>
      <c r="G38" s="59">
        <v>0</v>
      </c>
    </row>
    <row r="39" spans="1:7" ht="14.25" customHeight="1" x14ac:dyDescent="0.25">
      <c r="G39" s="59"/>
    </row>
    <row r="40" spans="1:7" s="34" customFormat="1" ht="24" customHeight="1" thickBot="1" x14ac:dyDescent="0.3">
      <c r="A40" s="58" t="s">
        <v>56</v>
      </c>
      <c r="B40" s="58"/>
      <c r="C40" s="58"/>
      <c r="D40" s="58"/>
      <c r="E40" s="58"/>
      <c r="F40" s="58"/>
      <c r="G40" s="63">
        <f>ROUND(SUM(G36:G38)*20,0)/20</f>
        <v>1222.8</v>
      </c>
    </row>
    <row r="41" spans="1:7" ht="14.25" customHeight="1" x14ac:dyDescent="0.25"/>
    <row r="42" spans="1:7" ht="14.25" customHeight="1" x14ac:dyDescent="0.25"/>
    <row r="43" spans="1:7" ht="14.25" customHeight="1" x14ac:dyDescent="0.25">
      <c r="A43" t="s">
        <v>101</v>
      </c>
      <c r="B43" s="50">
        <v>0</v>
      </c>
      <c r="D43" t="s">
        <v>103</v>
      </c>
      <c r="F43" s="50">
        <v>0</v>
      </c>
    </row>
    <row r="44" spans="1:7" ht="14.25" customHeight="1" x14ac:dyDescent="0.25">
      <c r="A44" t="s">
        <v>102</v>
      </c>
      <c r="B44" s="50">
        <v>0</v>
      </c>
      <c r="D44" t="s">
        <v>109</v>
      </c>
      <c r="F44" s="50">
        <v>0</v>
      </c>
    </row>
    <row r="45" spans="1:7" ht="14.25" customHeight="1" x14ac:dyDescent="0.25"/>
    <row r="46" spans="1:7" ht="14.25" customHeight="1" x14ac:dyDescent="0.25">
      <c r="A46" t="s">
        <v>107</v>
      </c>
    </row>
    <row r="47" spans="1:7" ht="14.25" customHeight="1" x14ac:dyDescent="0.25">
      <c r="A47" t="s">
        <v>106</v>
      </c>
    </row>
    <row r="48" spans="1:7" ht="14.25" customHeight="1" x14ac:dyDescent="0.25"/>
    <row r="49" spans="3:4" ht="14.25" customHeight="1" x14ac:dyDescent="0.25">
      <c r="C49" t="s">
        <v>108</v>
      </c>
    </row>
    <row r="50" spans="3:4" ht="14.25" customHeight="1" x14ac:dyDescent="0.25"/>
    <row r="51" spans="3:4" ht="14.25" customHeight="1" x14ac:dyDescent="0.25">
      <c r="C51" s="34" t="s">
        <v>57</v>
      </c>
      <c r="D51" s="34"/>
    </row>
  </sheetData>
  <sheetProtection selectLockedCells="1" selectUnlockedCells="1"/>
  <mergeCells count="1">
    <mergeCell ref="A21:C21"/>
  </mergeCells>
  <pageMargins left="0.47244094488188981" right="0" top="0.59055118110236227" bottom="0.59055118110236227" header="0.51181102362204722" footer="0.51181102362204722"/>
  <pageSetup paperSize="9" firstPageNumber="0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V41"/>
  <sheetViews>
    <sheetView workbookViewId="0">
      <selection activeCell="A21" sqref="A21"/>
    </sheetView>
  </sheetViews>
  <sheetFormatPr baseColWidth="10" defaultColWidth="11.44140625" defaultRowHeight="18" customHeight="1" x14ac:dyDescent="0.3"/>
  <cols>
    <col min="1" max="2" width="11.6640625" style="1" customWidth="1"/>
    <col min="3" max="3" width="25.6640625" style="1" customWidth="1"/>
    <col min="4" max="5" width="11.6640625" style="1" customWidth="1"/>
    <col min="6" max="7" width="13.33203125" style="1" customWidth="1"/>
    <col min="8" max="16384" width="11.44140625" style="1"/>
  </cols>
  <sheetData>
    <row r="1" spans="1:256" ht="15" customHeight="1" x14ac:dyDescent="0.3">
      <c r="A1" s="13" t="s">
        <v>31</v>
      </c>
      <c r="C1" s="2"/>
      <c r="D1" s="2"/>
      <c r="F1" s="2"/>
    </row>
    <row r="2" spans="1:256" ht="15" customHeight="1" x14ac:dyDescent="0.3">
      <c r="A2" s="15" t="s">
        <v>32</v>
      </c>
      <c r="C2" s="2"/>
      <c r="D2" s="2"/>
      <c r="F2" s="2"/>
    </row>
    <row r="3" spans="1:256" ht="15" customHeight="1" x14ac:dyDescent="0.3">
      <c r="A3" s="15" t="s">
        <v>33</v>
      </c>
      <c r="C3" s="12"/>
      <c r="D3" s="12"/>
      <c r="E3" s="12"/>
      <c r="F3" s="12"/>
    </row>
    <row r="4" spans="1:256" ht="15" customHeight="1" x14ac:dyDescent="0.3">
      <c r="A4" s="1" t="s">
        <v>34</v>
      </c>
      <c r="C4" s="12"/>
      <c r="D4" s="12"/>
      <c r="E4" s="12"/>
      <c r="F4" s="12"/>
    </row>
    <row r="5" spans="1:256" ht="15" customHeight="1" x14ac:dyDescent="0.3">
      <c r="A5" s="1" t="s">
        <v>35</v>
      </c>
      <c r="C5" s="12"/>
    </row>
    <row r="6" spans="1:256" ht="15" customHeight="1" x14ac:dyDescent="0.3">
      <c r="A6" s="15" t="s">
        <v>36</v>
      </c>
      <c r="C6" s="12"/>
      <c r="D6" s="12"/>
      <c r="F6" s="12"/>
    </row>
    <row r="7" spans="1:256" ht="15" customHeight="1" x14ac:dyDescent="0.3">
      <c r="C7" s="12"/>
      <c r="D7" s="12"/>
      <c r="E7" s="12" t="s">
        <v>60</v>
      </c>
    </row>
    <row r="8" spans="1:256" ht="15" customHeight="1" x14ac:dyDescent="0.3">
      <c r="C8" s="12"/>
      <c r="D8" s="12"/>
      <c r="E8" s="12" t="s">
        <v>65</v>
      </c>
    </row>
    <row r="9" spans="1:256" ht="15" customHeight="1" x14ac:dyDescent="0.3">
      <c r="C9" s="12"/>
      <c r="D9" s="12"/>
      <c r="E9" s="12" t="s">
        <v>72</v>
      </c>
      <c r="F9" s="12"/>
    </row>
    <row r="10" spans="1:256" ht="15" customHeight="1" x14ac:dyDescent="0.3">
      <c r="C10" s="12"/>
      <c r="D10" s="12"/>
      <c r="E10" s="12" t="s">
        <v>73</v>
      </c>
      <c r="F10" s="12"/>
    </row>
    <row r="11" spans="1:256" ht="15" customHeight="1" x14ac:dyDescent="0.3">
      <c r="A11" s="15"/>
      <c r="C11" s="12"/>
      <c r="D11" s="12"/>
      <c r="E11" s="12"/>
      <c r="F11" s="12"/>
    </row>
    <row r="12" spans="1:256" ht="15" customHeight="1" x14ac:dyDescent="0.3">
      <c r="A12" s="15"/>
      <c r="C12" s="12"/>
      <c r="D12" s="12"/>
      <c r="E12" s="12"/>
      <c r="F12" s="12"/>
    </row>
    <row r="13" spans="1:256" ht="15" customHeight="1" x14ac:dyDescent="0.3">
      <c r="A13" s="15"/>
      <c r="C13" s="12"/>
      <c r="D13" s="12"/>
      <c r="E13" s="12"/>
      <c r="G13" s="28"/>
    </row>
    <row r="14" spans="1:256" ht="15" customHeight="1" x14ac:dyDescent="0.3">
      <c r="A14" s="16"/>
      <c r="B14" s="12"/>
      <c r="C14" s="29"/>
      <c r="D14" s="12"/>
      <c r="E14" s="12"/>
      <c r="F14" s="12"/>
    </row>
    <row r="15" spans="1:256" ht="16.5" customHeight="1" x14ac:dyDescent="0.3">
      <c r="A15" s="17" t="s">
        <v>38</v>
      </c>
      <c r="B15" s="18"/>
      <c r="C15" s="19" t="str">
        <f>'Std-Erf'!B1</f>
        <v>März 2026</v>
      </c>
      <c r="D15" s="18"/>
      <c r="E15" s="18"/>
      <c r="F15" s="18"/>
      <c r="G15" s="31"/>
    </row>
    <row r="16" spans="1:256" ht="16.5" customHeigh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</row>
    <row r="17" spans="1:7" ht="14.25" customHeight="1" x14ac:dyDescent="0.3"/>
    <row r="18" spans="1:7" ht="14.25" customHeight="1" x14ac:dyDescent="0.3">
      <c r="A18" s="13" t="s">
        <v>39</v>
      </c>
      <c r="C18" s="1" t="s">
        <v>40</v>
      </c>
      <c r="E18" s="81"/>
      <c r="F18" s="81"/>
      <c r="G18" s="81"/>
    </row>
    <row r="19" spans="1:7" ht="6.75" customHeight="1" x14ac:dyDescent="0.3">
      <c r="A19" s="13"/>
      <c r="F19" s="12"/>
    </row>
    <row r="20" spans="1:7" ht="14.25" customHeight="1" x14ac:dyDescent="0.3">
      <c r="A20" s="13" t="s">
        <v>41</v>
      </c>
      <c r="C20" s="12">
        <v>42471</v>
      </c>
      <c r="D20" s="20"/>
      <c r="E20" s="13"/>
      <c r="F20" s="12"/>
    </row>
    <row r="21" spans="1:7" ht="14.25" customHeight="1" x14ac:dyDescent="0.3">
      <c r="A21" s="13"/>
      <c r="F21" s="12"/>
    </row>
    <row r="22" spans="1:7" ht="14.25" customHeight="1" x14ac:dyDescent="0.3">
      <c r="A22" s="13"/>
      <c r="F22" s="12"/>
    </row>
    <row r="23" spans="1:7" ht="14.25" customHeight="1" x14ac:dyDescent="0.3"/>
    <row r="24" spans="1:7" ht="14.25" customHeight="1" x14ac:dyDescent="0.3">
      <c r="A24" s="21" t="s">
        <v>42</v>
      </c>
      <c r="B24" s="82" t="s">
        <v>43</v>
      </c>
      <c r="C24" s="82"/>
      <c r="D24" s="82"/>
      <c r="E24" s="21" t="s">
        <v>44</v>
      </c>
      <c r="F24" s="21" t="s">
        <v>45</v>
      </c>
      <c r="G24" s="21" t="s">
        <v>5</v>
      </c>
    </row>
    <row r="25" spans="1:7" ht="6.75" customHeight="1" x14ac:dyDescent="0.3">
      <c r="A25" s="22"/>
      <c r="B25" s="23"/>
      <c r="C25" s="23"/>
      <c r="D25" s="23"/>
      <c r="E25" s="23"/>
      <c r="F25" s="23"/>
      <c r="G25" s="23"/>
    </row>
    <row r="26" spans="1:7" ht="14.25" customHeight="1" x14ac:dyDescent="0.3">
      <c r="A26" s="22"/>
      <c r="B26" s="23" t="s">
        <v>74</v>
      </c>
      <c r="C26" s="23"/>
      <c r="D26" s="23"/>
      <c r="E26" s="24">
        <v>1</v>
      </c>
      <c r="F26" s="25">
        <v>1023</v>
      </c>
      <c r="G26" s="25">
        <f>PRODUCT(E26:F26)</f>
        <v>1023</v>
      </c>
    </row>
    <row r="27" spans="1:7" ht="14.25" customHeight="1" x14ac:dyDescent="0.3">
      <c r="A27" s="22"/>
      <c r="B27" s="23" t="s">
        <v>66</v>
      </c>
      <c r="C27" s="23"/>
      <c r="D27" s="23"/>
      <c r="E27" s="24">
        <v>1</v>
      </c>
      <c r="F27" s="25">
        <v>300</v>
      </c>
      <c r="G27" s="25">
        <f>PRODUCT(E27:F27)</f>
        <v>300</v>
      </c>
    </row>
    <row r="28" spans="1:7" ht="6.75" customHeight="1" x14ac:dyDescent="0.3">
      <c r="A28" s="22"/>
      <c r="B28" s="23"/>
      <c r="C28" s="23"/>
      <c r="D28" s="23"/>
      <c r="E28" s="23"/>
      <c r="F28" s="23"/>
      <c r="G28" s="23"/>
    </row>
    <row r="29" spans="1:7" s="13" customFormat="1" ht="14.25" customHeight="1" x14ac:dyDescent="0.3">
      <c r="A29" s="27"/>
      <c r="B29" s="21" t="s">
        <v>53</v>
      </c>
      <c r="C29" s="21"/>
      <c r="D29" s="21"/>
      <c r="E29" s="21"/>
      <c r="F29" s="21"/>
      <c r="G29" s="30">
        <f>SUM(G26:G27)</f>
        <v>1323</v>
      </c>
    </row>
    <row r="30" spans="1:7" ht="6.75" customHeight="1" x14ac:dyDescent="0.3">
      <c r="B30" s="23"/>
      <c r="C30" s="23"/>
      <c r="D30" s="23"/>
      <c r="E30" s="83"/>
      <c r="F30" s="83"/>
      <c r="G30" s="32"/>
    </row>
    <row r="31" spans="1:7" ht="14.25" customHeight="1" x14ac:dyDescent="0.3">
      <c r="A31" s="26"/>
      <c r="B31" s="23" t="s">
        <v>75</v>
      </c>
      <c r="C31" s="23"/>
      <c r="D31" s="23"/>
      <c r="E31" s="33"/>
      <c r="F31" s="23"/>
      <c r="G31" s="25">
        <v>167.39</v>
      </c>
    </row>
    <row r="32" spans="1:7" ht="14.25" customHeight="1" x14ac:dyDescent="0.3">
      <c r="A32" s="26"/>
      <c r="B32" s="23" t="s">
        <v>55</v>
      </c>
      <c r="C32" s="23"/>
      <c r="D32" s="23"/>
      <c r="E32" s="33"/>
      <c r="F32" s="23"/>
      <c r="G32" s="25">
        <v>0.01</v>
      </c>
    </row>
    <row r="33" spans="1:7" s="13" customFormat="1" ht="18" customHeight="1" x14ac:dyDescent="0.3">
      <c r="A33" s="27"/>
      <c r="B33" s="21" t="s">
        <v>56</v>
      </c>
      <c r="C33" s="21"/>
      <c r="D33" s="21"/>
      <c r="E33" s="21"/>
      <c r="F33" s="21"/>
      <c r="G33" s="30">
        <f>SUM(G29-G31-G32)</f>
        <v>1155.6000000000001</v>
      </c>
    </row>
    <row r="34" spans="1:7" ht="14.25" customHeight="1" x14ac:dyDescent="0.3"/>
    <row r="35" spans="1:7" ht="14.25" customHeight="1" x14ac:dyDescent="0.3">
      <c r="E35" s="13"/>
    </row>
    <row r="36" spans="1:7" ht="14.25" customHeight="1" x14ac:dyDescent="0.3">
      <c r="A36" s="1" t="s">
        <v>76</v>
      </c>
    </row>
    <row r="37" spans="1:7" ht="14.25" customHeight="1" x14ac:dyDescent="0.3"/>
    <row r="38" spans="1:7" ht="14.25" customHeight="1" x14ac:dyDescent="0.3"/>
    <row r="39" spans="1:7" ht="14.25" customHeight="1" x14ac:dyDescent="0.3">
      <c r="D39" s="1" t="s">
        <v>77</v>
      </c>
    </row>
    <row r="40" spans="1:7" ht="14.25" customHeight="1" x14ac:dyDescent="0.3"/>
    <row r="41" spans="1:7" ht="14.25" customHeight="1" x14ac:dyDescent="0.3">
      <c r="D41" s="13" t="s">
        <v>57</v>
      </c>
    </row>
  </sheetData>
  <sheetProtection selectLockedCells="1" selectUnlockedCells="1"/>
  <mergeCells count="3">
    <mergeCell ref="E18:G18"/>
    <mergeCell ref="B24:D24"/>
    <mergeCell ref="E30:F30"/>
  </mergeCells>
  <phoneticPr fontId="0" type="noConversion"/>
  <pageMargins left="0.25" right="0.25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41</vt:i4>
      </vt:variant>
      <vt:variant>
        <vt:lpstr>Benannte Bereiche</vt:lpstr>
      </vt:variant>
      <vt:variant>
        <vt:i4>1</vt:i4>
      </vt:variant>
    </vt:vector>
  </HeadingPairs>
  <TitlesOfParts>
    <vt:vector size="42" baseType="lpstr">
      <vt:lpstr>Std-Erf</vt:lpstr>
      <vt:lpstr>BleR</vt:lpstr>
      <vt:lpstr>BleD</vt:lpstr>
      <vt:lpstr>BauR</vt:lpstr>
      <vt:lpstr>BeiC</vt:lpstr>
      <vt:lpstr>BirB</vt:lpstr>
      <vt:lpstr>BirR</vt:lpstr>
      <vt:lpstr>CamF</vt:lpstr>
      <vt:lpstr>CamF Seminar</vt:lpstr>
      <vt:lpstr>CorB</vt:lpstr>
      <vt:lpstr>CosF</vt:lpstr>
      <vt:lpstr>DizH</vt:lpstr>
      <vt:lpstr>DuR</vt:lpstr>
      <vt:lpstr>EgliA</vt:lpstr>
      <vt:lpstr>EgliB</vt:lpstr>
      <vt:lpstr>GabA</vt:lpstr>
      <vt:lpstr>GabP</vt:lpstr>
      <vt:lpstr>GrBe</vt:lpstr>
      <vt:lpstr>HieP</vt:lpstr>
      <vt:lpstr>HugS</vt:lpstr>
      <vt:lpstr>KäJ</vt:lpstr>
      <vt:lpstr>KäY</vt:lpstr>
      <vt:lpstr>KolM</vt:lpstr>
      <vt:lpstr>KolMSpesen</vt:lpstr>
      <vt:lpstr>KosI</vt:lpstr>
      <vt:lpstr>LinS</vt:lpstr>
      <vt:lpstr>LusWJ</vt:lpstr>
      <vt:lpstr>LusWS</vt:lpstr>
      <vt:lpstr>PegJ</vt:lpstr>
      <vt:lpstr>PreG</vt:lpstr>
      <vt:lpstr>PreZ</vt:lpstr>
      <vt:lpstr>RocJ</vt:lpstr>
      <vt:lpstr>RocR</vt:lpstr>
      <vt:lpstr>SchA</vt:lpstr>
      <vt:lpstr>StaS</vt:lpstr>
      <vt:lpstr>StoN</vt:lpstr>
      <vt:lpstr>Unfall Norina</vt:lpstr>
      <vt:lpstr>Unfall Kolb</vt:lpstr>
      <vt:lpstr>KTG SchE</vt:lpstr>
      <vt:lpstr>Unfalltaggeld</vt:lpstr>
      <vt:lpstr>Tabelle1</vt:lpstr>
      <vt:lpstr>'Std-Erf'!Druckbereich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Käch</dc:creator>
  <cp:lastModifiedBy>Yvonne Käch</cp:lastModifiedBy>
  <cp:lastPrinted>2026-03-03T13:26:37Z</cp:lastPrinted>
  <dcterms:created xsi:type="dcterms:W3CDTF">2019-07-08T09:15:37Z</dcterms:created>
  <dcterms:modified xsi:type="dcterms:W3CDTF">2026-03-04T04:44:26Z</dcterms:modified>
</cp:coreProperties>
</file>